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0" yWindow="105" windowWidth="14805" windowHeight="8010" activeTab="2"/>
  </bookViews>
  <sheets>
    <sheet name="Sheet1" sheetId="4" r:id="rId1"/>
    <sheet name="NHL202425" sheetId="11" r:id="rId2"/>
    <sheet name="NHL2526Q1" sheetId="12" r:id="rId3"/>
    <sheet name="Sheet3" sheetId="14" r:id="rId4"/>
  </sheets>
  <calcPr calcId="144525"/>
</workbook>
</file>

<file path=xl/calcChain.xml><?xml version="1.0" encoding="utf-8"?>
<calcChain xmlns="http://schemas.openxmlformats.org/spreadsheetml/2006/main">
  <c r="I29" i="14" l="1"/>
  <c r="H18" i="14" l="1"/>
  <c r="H17" i="14"/>
  <c r="G13" i="14" l="1"/>
  <c r="G14" i="14"/>
  <c r="G15" i="14"/>
  <c r="G12" i="14"/>
  <c r="G16" i="14"/>
  <c r="H8" i="14" l="1"/>
  <c r="H9" i="14"/>
  <c r="H10" i="14"/>
  <c r="H11" i="14"/>
  <c r="H31" i="12" l="1"/>
  <c r="H6" i="14"/>
  <c r="H7" i="14"/>
  <c r="H5" i="14"/>
  <c r="E51" i="14"/>
  <c r="I51" i="14"/>
  <c r="H29" i="12" l="1"/>
  <c r="H30" i="12"/>
  <c r="H28" i="12" l="1"/>
  <c r="H23" i="12"/>
  <c r="H24" i="12"/>
  <c r="H25" i="12"/>
  <c r="H26" i="12"/>
  <c r="H27" i="12"/>
  <c r="I58" i="12" l="1"/>
  <c r="E58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38" i="4"/>
  <c r="H39" i="4"/>
  <c r="H40" i="4"/>
  <c r="H41" i="4"/>
  <c r="H42" i="4"/>
  <c r="H43" i="4"/>
  <c r="H44" i="4"/>
  <c r="H45" i="4"/>
  <c r="H51" i="11"/>
  <c r="D51" i="11"/>
  <c r="G25" i="11"/>
  <c r="G24" i="11"/>
  <c r="G20" i="11"/>
  <c r="G19" i="11"/>
  <c r="G18" i="11"/>
  <c r="G17" i="11"/>
  <c r="G16" i="11"/>
  <c r="G15" i="11"/>
  <c r="G13" i="11"/>
  <c r="G51" i="11" l="1"/>
  <c r="H37" i="4"/>
  <c r="H31" i="4"/>
  <c r="H32" i="4"/>
  <c r="H33" i="4"/>
  <c r="H34" i="4"/>
  <c r="H35" i="4"/>
  <c r="H36" i="4"/>
  <c r="H52" i="11" l="1"/>
  <c r="H4" i="12"/>
  <c r="H58" i="12" s="1"/>
  <c r="I59" i="12" s="1"/>
  <c r="H25" i="4"/>
  <c r="H19" i="4"/>
  <c r="H16" i="4"/>
  <c r="H15" i="4"/>
  <c r="H13" i="4"/>
  <c r="H30" i="4"/>
  <c r="H4" i="14" l="1"/>
  <c r="H51" i="14" s="1"/>
  <c r="I52" i="14" s="1"/>
  <c r="H24" i="4"/>
  <c r="E84" i="4" l="1"/>
  <c r="I84" i="4"/>
  <c r="H17" i="4" l="1"/>
  <c r="H18" i="4"/>
  <c r="H20" i="4"/>
  <c r="H84" i="4" l="1"/>
  <c r="I85" i="4" s="1"/>
</calcChain>
</file>

<file path=xl/sharedStrings.xml><?xml version="1.0" encoding="utf-8"?>
<sst xmlns="http://schemas.openxmlformats.org/spreadsheetml/2006/main" count="277" uniqueCount="51">
  <si>
    <t>DATE</t>
  </si>
  <si>
    <t>ACCOUNT</t>
  </si>
  <si>
    <t>DESCRIPTION</t>
  </si>
  <si>
    <t>REF</t>
  </si>
  <si>
    <t>DEBIT</t>
  </si>
  <si>
    <t>CREDIT</t>
  </si>
  <si>
    <t>'SHREE''</t>
  </si>
  <si>
    <t>M/S NATIONAL HANDLOOM PRO.COOP.STY.LTD.</t>
  </si>
  <si>
    <t>KHAJURI</t>
  </si>
  <si>
    <t>TWILL NS</t>
  </si>
  <si>
    <t>PLATING</t>
  </si>
  <si>
    <t>Total</t>
  </si>
  <si>
    <t>SEMI ZURIC</t>
  </si>
  <si>
    <t>Column1</t>
  </si>
  <si>
    <t>Column2</t>
  </si>
  <si>
    <t>Column12</t>
  </si>
  <si>
    <t>DELHI</t>
  </si>
  <si>
    <t>DEHLI</t>
  </si>
  <si>
    <t>RAJIYA SBI</t>
  </si>
  <si>
    <t xml:space="preserve">AZIM </t>
  </si>
  <si>
    <t>FEB</t>
  </si>
  <si>
    <t>MAKSUD ALI</t>
  </si>
  <si>
    <t>VIJAY BHAI</t>
  </si>
  <si>
    <t>JITENDRA SBI</t>
  </si>
  <si>
    <t>AMBIKA BAGRI</t>
  </si>
  <si>
    <t>RAJU</t>
  </si>
  <si>
    <t>KUSHUM</t>
  </si>
  <si>
    <t>KHAJURI OPEN</t>
  </si>
  <si>
    <t>TWILL NON SPANDEX</t>
  </si>
  <si>
    <t>SHUBHAM(VINOD BHAI)</t>
  </si>
  <si>
    <t>TUBE KHAJURI</t>
  </si>
  <si>
    <t>amar singh</t>
  </si>
  <si>
    <t>deepak pareek</t>
  </si>
  <si>
    <t>jayshree bagri</t>
  </si>
  <si>
    <t>ASHWINI NATTHUJI KHANDRE</t>
  </si>
  <si>
    <t>OPENING BAL 2425</t>
  </si>
  <si>
    <t>PENDING</t>
  </si>
  <si>
    <t>OPENING BAL</t>
  </si>
  <si>
    <t>KHAJURI DESIGN</t>
  </si>
  <si>
    <t>RAJIYA</t>
  </si>
  <si>
    <t>BOX OPEN</t>
  </si>
  <si>
    <t>BUBBLES</t>
  </si>
  <si>
    <t>BOX TUBE</t>
  </si>
  <si>
    <t>AJIMADIN</t>
  </si>
  <si>
    <t>PANA DEVI</t>
  </si>
  <si>
    <t>599(2)</t>
  </si>
  <si>
    <t>AMARSINGH RAJPUT</t>
  </si>
  <si>
    <t>PUPPU BHAI</t>
  </si>
  <si>
    <t>BHAWANI SHANKAR PAREEK</t>
  </si>
  <si>
    <t>PLATTING</t>
  </si>
  <si>
    <t>vandan bohra(kailash bhaiya)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</si>
</sst>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₹&quot;\ #,##0.00;[Red]&quot;₹&quot;\ \-#,##0.00"/>
    <numFmt numFmtId="164" formatCode="&quot;₹&quot;\ #,##0.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/>
    <xf numFmtId="8" fontId="0" fillId="0" borderId="0" xfId="0" applyNumberFormat="1"/>
    <xf numFmtId="0" fontId="4" fillId="0" borderId="0" xfId="0" applyFont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8" fontId="5" fillId="0" borderId="0" xfId="0" applyNumberFormat="1" applyFont="1" applyAlignment="1">
      <alignment horizontal="center"/>
    </xf>
    <xf numFmtId="0" fontId="5" fillId="0" borderId="0" xfId="0" applyFont="1"/>
    <xf numFmtId="14" fontId="6" fillId="0" borderId="0" xfId="0" applyNumberFormat="1" applyFont="1"/>
    <xf numFmtId="0" fontId="6" fillId="0" borderId="0" xfId="0" applyFont="1"/>
    <xf numFmtId="0" fontId="8" fillId="0" borderId="0" xfId="0" applyFont="1"/>
    <xf numFmtId="8" fontId="6" fillId="0" borderId="0" xfId="0" applyNumberFormat="1" applyFont="1"/>
    <xf numFmtId="0" fontId="3" fillId="0" borderId="0" xfId="0" applyFont="1" applyAlignment="1">
      <alignment horizontal="center"/>
    </xf>
    <xf numFmtId="0" fontId="6" fillId="0" borderId="1" xfId="0" applyFont="1" applyBorder="1"/>
    <xf numFmtId="3" fontId="5" fillId="0" borderId="0" xfId="0" applyNumberFormat="1" applyFont="1" applyAlignment="1">
      <alignment horizontal="center"/>
    </xf>
    <xf numFmtId="3" fontId="7" fillId="0" borderId="0" xfId="0" applyNumberFormat="1" applyFont="1"/>
    <xf numFmtId="3" fontId="1" fillId="0" borderId="0" xfId="0" applyNumberFormat="1" applyFont="1"/>
    <xf numFmtId="3" fontId="0" fillId="0" borderId="0" xfId="0" applyNumberFormat="1"/>
    <xf numFmtId="0" fontId="9" fillId="0" borderId="0" xfId="1"/>
    <xf numFmtId="0" fontId="10" fillId="0" borderId="0" xfId="0" applyFont="1"/>
    <xf numFmtId="1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8" fontId="10" fillId="0" borderId="0" xfId="0" applyNumberFormat="1" applyFont="1" applyAlignment="1">
      <alignment horizontal="center"/>
    </xf>
    <xf numFmtId="14" fontId="10" fillId="0" borderId="0" xfId="0" applyNumberFormat="1" applyFont="1"/>
    <xf numFmtId="0" fontId="11" fillId="0" borderId="1" xfId="0" applyFont="1" applyBorder="1"/>
    <xf numFmtId="8" fontId="10" fillId="0" borderId="0" xfId="0" applyNumberFormat="1" applyFont="1"/>
    <xf numFmtId="14" fontId="11" fillId="0" borderId="0" xfId="0" applyNumberFormat="1" applyFont="1"/>
    <xf numFmtId="0" fontId="12" fillId="0" borderId="1" xfId="1" applyFont="1" applyBorder="1"/>
    <xf numFmtId="0" fontId="11" fillId="0" borderId="0" xfId="0" applyFont="1"/>
    <xf numFmtId="3" fontId="11" fillId="0" borderId="0" xfId="0" applyNumberFormat="1" applyFont="1"/>
    <xf numFmtId="8" fontId="11" fillId="0" borderId="0" xfId="0" applyNumberFormat="1" applyFont="1"/>
    <xf numFmtId="3" fontId="10" fillId="0" borderId="0" xfId="0" applyNumberFormat="1" applyFont="1"/>
    <xf numFmtId="0" fontId="10" fillId="0" borderId="0" xfId="0" applyFont="1" applyAlignment="1">
      <alignment wrapText="1"/>
    </xf>
    <xf numFmtId="0" fontId="13" fillId="0" borderId="1" xfId="0" applyFont="1" applyBorder="1"/>
    <xf numFmtId="164" fontId="14" fillId="0" borderId="0" xfId="1" applyNumberFormat="1" applyFont="1"/>
    <xf numFmtId="164" fontId="9" fillId="0" borderId="1" xfId="1" applyNumberFormat="1" applyBorder="1"/>
    <xf numFmtId="0" fontId="10" fillId="0" borderId="0" xfId="0" applyFont="1" applyAlignment="1">
      <alignment horizontal="right"/>
    </xf>
    <xf numFmtId="0" fontId="15" fillId="0" borderId="0" xfId="0" applyFont="1"/>
    <xf numFmtId="3" fontId="15" fillId="0" borderId="0" xfId="0" applyNumberFormat="1" applyFont="1"/>
    <xf numFmtId="8" fontId="15" fillId="0" borderId="0" xfId="0" applyNumberFormat="1" applyFont="1"/>
    <xf numFmtId="8" fontId="10" fillId="2" borderId="0" xfId="0" applyNumberFormat="1" applyFont="1" applyFill="1"/>
    <xf numFmtId="8" fontId="10" fillId="3" borderId="0" xfId="0" applyNumberFormat="1" applyFont="1" applyFill="1"/>
    <xf numFmtId="14" fontId="3" fillId="0" borderId="0" xfId="0" quotePrefix="1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10" fillId="0" borderId="0" xfId="0" quotePrefix="1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2" formatCode="&quot;₹&quot;\ #,##0.00;[Red]&quot;₹&quot;\ 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2" formatCode="&quot;₹&quot;\ #,##0.00;[Red]&quot;₹&quot;\ 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  <numFmt numFmtId="12" formatCode="&quot;₹&quot;\ #,##0.00;[Red]&quot;₹&quot;\ \-#,##0.00"/>
    </dxf>
    <dxf>
      <font>
        <strike val="0"/>
        <outline val="0"/>
        <shadow val="0"/>
        <vertAlign val="baseline"/>
        <sz val="10"/>
        <name val="Calibri"/>
        <scheme val="minor"/>
      </font>
      <numFmt numFmtId="3" formatCode="#,##0"/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  <numFmt numFmtId="19" formatCode="dd/mm/yyyy"/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scheme val="minor"/>
      </font>
      <numFmt numFmtId="12" formatCode="&quot;₹&quot;\ #,##0.00;[Red]&quot;₹&quot;\ \-#,##0.00"/>
    </dxf>
    <dxf>
      <font>
        <strike val="0"/>
        <outline val="0"/>
        <shadow val="0"/>
        <vertAlign val="baseline"/>
        <sz val="10"/>
        <name val="Calibri"/>
        <scheme val="minor"/>
      </font>
      <numFmt numFmtId="3" formatCode="#,##0"/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  <numFmt numFmtId="19" formatCode="dd/mm/yyyy"/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3" formatCode="#,##0"/>
    </dxf>
    <dxf>
      <numFmt numFmtId="3" formatCode="#,##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3" formatCode="#,##0"/>
    </dxf>
    <dxf>
      <numFmt numFmtId="3" formatCode="#,##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RAM_3" displayName="RAM_3" ref="A2:I84" totalsRowCount="1" headerRowDxfId="53">
  <autoFilter ref="A2:I83"/>
  <tableColumns count="9">
    <tableColumn id="1" name="DATE" totalsRowLabel="Total" dataDxfId="52"/>
    <tableColumn id="2" name="ACCOUNT"/>
    <tableColumn id="3" name="DESCRIPTION"/>
    <tableColumn id="4" name="REF"/>
    <tableColumn id="7" name="Column1" totalsRowFunction="sum"/>
    <tableColumn id="9" name="Column12"/>
    <tableColumn id="8" name="Column2"/>
    <tableColumn id="5" name="DEBIT" totalsRowFunction="sum" dataDxfId="51" totalsRowDxfId="50"/>
    <tableColumn id="6" name="CREDIT" totalsRowFunction="sum" dataDxfId="49" totalsRowDxfId="48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3" name="RAM_34" displayName="RAM_34" ref="A2:H51" totalsRowCount="1" headerRowDxfId="47">
  <autoFilter ref="A2:H50"/>
  <tableColumns count="8">
    <tableColumn id="1" name="DATE" totalsRowLabel="Total" dataDxfId="46"/>
    <tableColumn id="3" name="DESCRIPTION"/>
    <tableColumn id="4" name="REF"/>
    <tableColumn id="7" name="Column1" totalsRowFunction="sum"/>
    <tableColumn id="9" name="Column12"/>
    <tableColumn id="8" name="Column2"/>
    <tableColumn id="5" name="DEBIT" totalsRowFunction="sum" dataDxfId="45" totalsRowDxfId="44"/>
    <tableColumn id="6" name="CREDIT" totalsRowFunction="sum" dataDxfId="43" totalsRowDxfId="42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4" name="RAM_35" displayName="RAM_35" ref="A2:I58" totalsRowCount="1" headerRowDxfId="41" dataDxfId="40" totalsRowDxfId="39">
  <autoFilter ref="A2:I57"/>
  <tableColumns count="9">
    <tableColumn id="1" name="DATE" totalsRowLabel="Total" dataDxfId="38" totalsRowDxfId="8"/>
    <tableColumn id="2" name="ACCOUNT" dataDxfId="37" totalsRowDxfId="7"/>
    <tableColumn id="3" name="DESCRIPTION" dataDxfId="36" totalsRowDxfId="6"/>
    <tableColumn id="4" name="REF" dataDxfId="35" totalsRowDxfId="5"/>
    <tableColumn id="7" name="Column1" totalsRowFunction="sum" dataDxfId="34" totalsRowDxfId="4"/>
    <tableColumn id="9" name="Column12" dataDxfId="33" totalsRowDxfId="3"/>
    <tableColumn id="8" name="Column2" dataDxfId="32" totalsRowDxfId="2"/>
    <tableColumn id="5" name="DEBIT" totalsRowFunction="sum" dataDxfId="31" totalsRowDxfId="1"/>
    <tableColumn id="6" name="CREDIT" totalsRowFunction="sum" dataDxfId="30" totalsRowDxfId="0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1" name="RAM_352" displayName="RAM_352" ref="A2:I51" totalsRowCount="1" headerRowDxfId="29" dataDxfId="28" totalsRowDxfId="27">
  <autoFilter ref="A2:I50"/>
  <tableColumns count="9">
    <tableColumn id="1" name="DATE" totalsRowLabel="Total" dataDxfId="26" totalsRowDxfId="17"/>
    <tableColumn id="2" name="ACCOUNT" dataDxfId="25" totalsRowDxfId="16"/>
    <tableColumn id="3" name="DESCRIPTION" dataDxfId="24" totalsRowDxfId="15"/>
    <tableColumn id="4" name="REF" dataDxfId="23" totalsRowDxfId="14"/>
    <tableColumn id="7" name="Column1" totalsRowFunction="sum" dataDxfId="22" totalsRowDxfId="13"/>
    <tableColumn id="9" name="Column12" dataDxfId="21" totalsRowDxfId="12"/>
    <tableColumn id="8" name="Column2" dataDxfId="20" totalsRowDxfId="11"/>
    <tableColumn id="5" name="DEBIT" totalsRowFunction="sum" dataDxfId="19" totalsRowDxfId="10"/>
    <tableColumn id="6" name="CREDIT" totalsRowFunction="sum" dataDxfId="18" totalsRowDxfId="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02"/>
  <sheetViews>
    <sheetView zoomScale="70" zoomScaleNormal="70" workbookViewId="0">
      <selection activeCell="I89" sqref="I89"/>
    </sheetView>
  </sheetViews>
  <sheetFormatPr defaultRowHeight="15.75" x14ac:dyDescent="0.25"/>
  <cols>
    <col min="1" max="1" width="15.85546875" style="3" bestFit="1" customWidth="1"/>
    <col min="2" max="2" width="36.5703125" hidden="1" customWidth="1"/>
    <col min="3" max="3" width="22.5703125" bestFit="1" customWidth="1"/>
    <col min="4" max="4" width="8.5703125" customWidth="1"/>
    <col min="5" max="5" width="6.7109375" customWidth="1"/>
    <col min="6" max="6" width="10.5703125" customWidth="1"/>
    <col min="7" max="7" width="7.7109375" style="1" customWidth="1"/>
    <col min="8" max="8" width="12.5703125" style="19" customWidth="1"/>
    <col min="9" max="9" width="18.7109375" bestFit="1" customWidth="1"/>
  </cols>
  <sheetData>
    <row r="1" spans="1:9" ht="15" x14ac:dyDescent="0.25">
      <c r="A1" s="45" t="s">
        <v>6</v>
      </c>
      <c r="B1" s="46"/>
      <c r="C1" s="46"/>
      <c r="D1" s="46"/>
      <c r="E1" s="46"/>
      <c r="F1" s="46"/>
      <c r="G1" s="46"/>
      <c r="H1" s="46"/>
      <c r="I1" s="46"/>
    </row>
    <row r="2" spans="1:9" s="5" customFormat="1" ht="23.25" x14ac:dyDescent="0.35">
      <c r="A2" s="6" t="s">
        <v>0</v>
      </c>
      <c r="B2" s="7" t="s">
        <v>1</v>
      </c>
      <c r="C2" s="2" t="s">
        <v>2</v>
      </c>
      <c r="D2" s="7" t="s">
        <v>3</v>
      </c>
      <c r="E2" s="14" t="s">
        <v>13</v>
      </c>
      <c r="F2" s="14" t="s">
        <v>15</v>
      </c>
      <c r="G2" s="14" t="s">
        <v>14</v>
      </c>
      <c r="H2" s="16" t="s">
        <v>4</v>
      </c>
      <c r="I2" s="8" t="s">
        <v>5</v>
      </c>
    </row>
    <row r="3" spans="1:9" s="9" customFormat="1" ht="23.25" x14ac:dyDescent="0.35">
      <c r="A3" s="10">
        <v>45682</v>
      </c>
      <c r="B3" s="12" t="s">
        <v>7</v>
      </c>
      <c r="C3" s="11" t="s">
        <v>9</v>
      </c>
      <c r="D3" s="11">
        <v>1253</v>
      </c>
      <c r="E3" s="11">
        <v>24</v>
      </c>
      <c r="F3" s="11">
        <v>595.1</v>
      </c>
      <c r="G3" s="11">
        <v>68</v>
      </c>
      <c r="H3" s="17">
        <v>40466.800000000003</v>
      </c>
      <c r="I3" s="4"/>
    </row>
    <row r="4" spans="1:9" x14ac:dyDescent="0.25">
      <c r="A4" s="10">
        <v>45687</v>
      </c>
      <c r="B4" s="12" t="s">
        <v>7</v>
      </c>
      <c r="C4" s="11" t="s">
        <v>9</v>
      </c>
      <c r="D4" s="11">
        <v>1448</v>
      </c>
      <c r="E4" s="11">
        <v>48</v>
      </c>
      <c r="F4" s="11">
        <v>1231.3</v>
      </c>
      <c r="G4" s="11">
        <v>68</v>
      </c>
      <c r="H4" s="17">
        <v>83728.399999999994</v>
      </c>
      <c r="I4" s="4"/>
    </row>
    <row r="5" spans="1:9" x14ac:dyDescent="0.25">
      <c r="A5" s="10">
        <v>45688</v>
      </c>
      <c r="B5" s="12" t="s">
        <v>7</v>
      </c>
      <c r="C5" s="11" t="s">
        <v>12</v>
      </c>
      <c r="D5" s="11">
        <v>1460</v>
      </c>
      <c r="E5" s="11">
        <v>24</v>
      </c>
      <c r="F5" s="11">
        <v>594.4</v>
      </c>
      <c r="G5" s="11">
        <v>60</v>
      </c>
      <c r="H5" s="17">
        <v>35664</v>
      </c>
      <c r="I5" s="4"/>
    </row>
    <row r="6" spans="1:9" x14ac:dyDescent="0.25">
      <c r="A6" s="10">
        <v>45703</v>
      </c>
      <c r="B6" s="12" t="s">
        <v>7</v>
      </c>
      <c r="C6" s="11" t="s">
        <v>8</v>
      </c>
      <c r="D6" s="11">
        <v>1567</v>
      </c>
      <c r="E6" s="11">
        <v>35</v>
      </c>
      <c r="F6" s="11">
        <v>843</v>
      </c>
      <c r="G6" s="11">
        <v>0</v>
      </c>
      <c r="H6" s="17">
        <v>0</v>
      </c>
      <c r="I6" s="4"/>
    </row>
    <row r="7" spans="1:9" x14ac:dyDescent="0.25">
      <c r="A7" s="10">
        <v>45703</v>
      </c>
      <c r="B7" s="12" t="s">
        <v>7</v>
      </c>
      <c r="C7" s="11" t="s">
        <v>8</v>
      </c>
      <c r="D7" s="11">
        <v>1573</v>
      </c>
      <c r="E7" s="11">
        <v>18</v>
      </c>
      <c r="F7" s="11">
        <v>431.7</v>
      </c>
      <c r="G7" s="11">
        <v>96</v>
      </c>
      <c r="H7" s="17">
        <v>41443.199999999997</v>
      </c>
      <c r="I7" s="4"/>
    </row>
    <row r="8" spans="1:9" x14ac:dyDescent="0.25">
      <c r="A8" s="10">
        <v>45705</v>
      </c>
      <c r="B8" s="12" t="s">
        <v>7</v>
      </c>
      <c r="C8" s="11" t="s">
        <v>8</v>
      </c>
      <c r="D8" s="11">
        <v>1587</v>
      </c>
      <c r="E8" s="11">
        <v>12</v>
      </c>
      <c r="F8" s="11">
        <v>290.2</v>
      </c>
      <c r="G8" s="11">
        <v>96</v>
      </c>
      <c r="H8" s="17">
        <v>27859.200000000001</v>
      </c>
      <c r="I8" s="4"/>
    </row>
    <row r="9" spans="1:9" x14ac:dyDescent="0.25">
      <c r="A9" s="10">
        <v>45705</v>
      </c>
      <c r="B9" s="12" t="s">
        <v>7</v>
      </c>
      <c r="C9" s="11" t="s">
        <v>8</v>
      </c>
      <c r="D9" s="11">
        <v>1591</v>
      </c>
      <c r="E9" s="11">
        <v>18</v>
      </c>
      <c r="F9" s="11">
        <v>437.6</v>
      </c>
      <c r="G9" s="11">
        <v>96</v>
      </c>
      <c r="H9" s="17">
        <v>42009.599999999999</v>
      </c>
      <c r="I9" s="4"/>
    </row>
    <row r="10" spans="1:9" x14ac:dyDescent="0.25">
      <c r="A10" s="10">
        <v>45706</v>
      </c>
      <c r="B10" s="12" t="s">
        <v>7</v>
      </c>
      <c r="C10" s="11" t="s">
        <v>10</v>
      </c>
      <c r="D10" s="11">
        <v>1592</v>
      </c>
      <c r="E10" s="11">
        <v>6</v>
      </c>
      <c r="F10" s="11">
        <v>144.80000000000001</v>
      </c>
      <c r="G10" s="11">
        <v>92</v>
      </c>
      <c r="H10" s="17">
        <v>13321.6</v>
      </c>
      <c r="I10" s="4"/>
    </row>
    <row r="11" spans="1:9" x14ac:dyDescent="0.25">
      <c r="A11" s="10">
        <v>45706</v>
      </c>
      <c r="B11" s="12" t="s">
        <v>7</v>
      </c>
      <c r="C11" s="11" t="s">
        <v>8</v>
      </c>
      <c r="D11" s="11">
        <v>1602</v>
      </c>
      <c r="E11" s="11">
        <v>16</v>
      </c>
      <c r="F11" s="11">
        <v>387</v>
      </c>
      <c r="G11" s="11">
        <v>96</v>
      </c>
      <c r="H11" s="17">
        <v>37152</v>
      </c>
      <c r="I11" s="4"/>
    </row>
    <row r="12" spans="1:9" x14ac:dyDescent="0.25">
      <c r="A12" s="10">
        <v>45707</v>
      </c>
      <c r="B12" s="12" t="s">
        <v>7</v>
      </c>
      <c r="C12" s="11" t="s">
        <v>10</v>
      </c>
      <c r="D12" s="11">
        <v>1602</v>
      </c>
      <c r="E12" s="11">
        <v>2</v>
      </c>
      <c r="F12" s="11">
        <v>49.7</v>
      </c>
      <c r="G12" s="11">
        <v>92</v>
      </c>
      <c r="H12" s="17">
        <v>4572.3999999999996</v>
      </c>
      <c r="I12" s="4"/>
    </row>
    <row r="13" spans="1:9" x14ac:dyDescent="0.25">
      <c r="A13" s="10">
        <v>45709</v>
      </c>
      <c r="B13" s="12" t="s">
        <v>7</v>
      </c>
      <c r="C13" s="11" t="s">
        <v>9</v>
      </c>
      <c r="D13" s="11">
        <v>1618</v>
      </c>
      <c r="E13" s="11">
        <v>15</v>
      </c>
      <c r="F13" s="11">
        <v>394.8</v>
      </c>
      <c r="G13" s="11">
        <v>77.5</v>
      </c>
      <c r="H13" s="17">
        <f>RAM_3[[#This Row],[Column12]]*RAM_3[[#This Row],[Column2]]</f>
        <v>30597</v>
      </c>
      <c r="I13" s="4"/>
    </row>
    <row r="14" spans="1:9" x14ac:dyDescent="0.25">
      <c r="A14" s="10">
        <v>45715</v>
      </c>
      <c r="B14" s="12" t="s">
        <v>7</v>
      </c>
      <c r="C14" s="11" t="s">
        <v>8</v>
      </c>
      <c r="D14" s="11">
        <v>1649</v>
      </c>
      <c r="E14" s="11">
        <v>24</v>
      </c>
      <c r="F14" s="11">
        <v>583.20000000000005</v>
      </c>
      <c r="G14" s="11">
        <v>96</v>
      </c>
      <c r="H14" s="17">
        <v>55987.199999999997</v>
      </c>
      <c r="I14" s="4"/>
    </row>
    <row r="15" spans="1:9" x14ac:dyDescent="0.25">
      <c r="A15" s="10">
        <v>45719</v>
      </c>
      <c r="B15" s="13"/>
      <c r="C15" s="13" t="s">
        <v>9</v>
      </c>
      <c r="D15" s="11">
        <v>1678</v>
      </c>
      <c r="E15" s="11">
        <v>48</v>
      </c>
      <c r="F15" s="11">
        <v>1169.2</v>
      </c>
      <c r="G15" s="11">
        <v>77.5</v>
      </c>
      <c r="H15" s="17">
        <f>RAM_3[[#This Row],[Column12]]*RAM_3[[#This Row],[Column2]]</f>
        <v>90613</v>
      </c>
      <c r="I15" s="4"/>
    </row>
    <row r="16" spans="1:9" x14ac:dyDescent="0.25">
      <c r="A16" s="10">
        <v>45719</v>
      </c>
      <c r="B16" s="11"/>
      <c r="C16" s="11" t="s">
        <v>9</v>
      </c>
      <c r="D16" s="11">
        <v>1680</v>
      </c>
      <c r="E16" s="11">
        <v>21</v>
      </c>
      <c r="F16" s="11">
        <v>510.9</v>
      </c>
      <c r="G16" s="11">
        <v>77.5</v>
      </c>
      <c r="H16" s="17">
        <f>RAM_3[[#This Row],[Column12]]*RAM_3[[#This Row],[Column2]]</f>
        <v>39594.75</v>
      </c>
      <c r="I16" s="4"/>
    </row>
    <row r="17" spans="1:10" x14ac:dyDescent="0.25">
      <c r="A17" s="10">
        <v>45719</v>
      </c>
      <c r="B17" s="13"/>
      <c r="C17" s="13" t="s">
        <v>8</v>
      </c>
      <c r="D17" s="11">
        <v>1681</v>
      </c>
      <c r="E17" s="11">
        <v>39</v>
      </c>
      <c r="F17" s="11">
        <v>950</v>
      </c>
      <c r="G17" s="11">
        <v>96</v>
      </c>
      <c r="H17" s="17">
        <f>RAM_3[[#This Row],[Column12]]*RAM_3[[#This Row],[Column2]]</f>
        <v>91200</v>
      </c>
      <c r="I17" s="4"/>
    </row>
    <row r="18" spans="1:10" x14ac:dyDescent="0.25">
      <c r="A18" s="10">
        <v>45722</v>
      </c>
      <c r="B18" s="11"/>
      <c r="C18" s="11" t="s">
        <v>8</v>
      </c>
      <c r="D18" s="11">
        <v>1716</v>
      </c>
      <c r="E18" s="11">
        <v>30</v>
      </c>
      <c r="F18" s="11">
        <v>725</v>
      </c>
      <c r="G18" s="11">
        <v>96</v>
      </c>
      <c r="H18" s="17">
        <f>RAM_3[[#This Row],[Column12]]*RAM_3[[#This Row],[Column2]]</f>
        <v>69600</v>
      </c>
      <c r="I18" s="4"/>
    </row>
    <row r="19" spans="1:10" x14ac:dyDescent="0.25">
      <c r="A19" s="10">
        <v>45723</v>
      </c>
      <c r="B19" s="11"/>
      <c r="C19" s="11" t="s">
        <v>9</v>
      </c>
      <c r="D19" s="11">
        <v>1720</v>
      </c>
      <c r="E19" s="11">
        <v>42</v>
      </c>
      <c r="F19" s="11">
        <v>1029.7</v>
      </c>
      <c r="G19" s="11">
        <v>77.5</v>
      </c>
      <c r="H19" s="17">
        <f>RAM_3[[#This Row],[Column12]]*RAM_3[[#This Row],[Column2]]</f>
        <v>79801.75</v>
      </c>
      <c r="I19" s="4"/>
      <c r="J19" s="4"/>
    </row>
    <row r="20" spans="1:10" x14ac:dyDescent="0.25">
      <c r="A20" s="10">
        <v>45723</v>
      </c>
      <c r="B20" s="11"/>
      <c r="C20" s="11" t="s">
        <v>12</v>
      </c>
      <c r="D20" s="11">
        <v>1721</v>
      </c>
      <c r="E20" s="11">
        <v>12</v>
      </c>
      <c r="F20" s="11">
        <v>306.60000000000002</v>
      </c>
      <c r="G20" s="11">
        <v>60</v>
      </c>
      <c r="H20" s="17">
        <f>RAM_3[[#This Row],[Column12]]*RAM_3[[#This Row],[Column2]]</f>
        <v>18396</v>
      </c>
      <c r="I20" s="4"/>
      <c r="J20" s="4"/>
    </row>
    <row r="21" spans="1:10" x14ac:dyDescent="0.25">
      <c r="A21" s="10">
        <v>45727</v>
      </c>
      <c r="B21" s="11"/>
      <c r="C21" s="11" t="s">
        <v>8</v>
      </c>
      <c r="D21" s="11">
        <v>1750</v>
      </c>
      <c r="E21" s="11">
        <v>33</v>
      </c>
      <c r="F21" s="11"/>
      <c r="G21" s="11"/>
      <c r="H21" s="17">
        <v>74784</v>
      </c>
      <c r="I21" s="4"/>
      <c r="J21" s="4"/>
    </row>
    <row r="22" spans="1:10" x14ac:dyDescent="0.25">
      <c r="A22" s="10">
        <v>45727</v>
      </c>
      <c r="B22" s="11"/>
      <c r="C22" s="11" t="s">
        <v>10</v>
      </c>
      <c r="D22" s="11">
        <v>1750</v>
      </c>
      <c r="E22" s="11">
        <v>3</v>
      </c>
      <c r="F22" s="11"/>
      <c r="G22" s="11"/>
      <c r="H22" s="17">
        <v>6587.2</v>
      </c>
      <c r="I22" s="4"/>
      <c r="J22" s="4"/>
    </row>
    <row r="23" spans="1:10" x14ac:dyDescent="0.25">
      <c r="A23" s="10">
        <v>45728</v>
      </c>
      <c r="B23" s="11"/>
      <c r="C23" s="11" t="s">
        <v>8</v>
      </c>
      <c r="D23" s="11">
        <v>1758</v>
      </c>
      <c r="E23" s="11">
        <v>33</v>
      </c>
      <c r="F23" s="11"/>
      <c r="G23" s="11"/>
      <c r="H23" s="17">
        <v>83472</v>
      </c>
      <c r="I23" s="4"/>
      <c r="J23" s="4"/>
    </row>
    <row r="24" spans="1:10" x14ac:dyDescent="0.25">
      <c r="A24" s="10">
        <v>45744</v>
      </c>
      <c r="B24" s="11"/>
      <c r="C24" s="11" t="s">
        <v>12</v>
      </c>
      <c r="D24" s="11">
        <v>1859</v>
      </c>
      <c r="E24" s="11">
        <v>29</v>
      </c>
      <c r="F24" s="11">
        <v>735.9</v>
      </c>
      <c r="G24" s="11">
        <v>60</v>
      </c>
      <c r="H24" s="17">
        <f>RAM_3[[#This Row],[Column12]]*RAM_3[[#This Row],[Column2]]</f>
        <v>44154</v>
      </c>
      <c r="I24" s="4"/>
      <c r="J24" s="4"/>
    </row>
    <row r="25" spans="1:10" x14ac:dyDescent="0.25">
      <c r="A25" s="10">
        <v>45744</v>
      </c>
      <c r="B25" s="11"/>
      <c r="C25" s="11" t="s">
        <v>9</v>
      </c>
      <c r="D25" s="11">
        <v>1860</v>
      </c>
      <c r="E25" s="11">
        <v>30</v>
      </c>
      <c r="F25" s="11">
        <v>715.3</v>
      </c>
      <c r="G25" s="11">
        <v>77.5</v>
      </c>
      <c r="H25" s="17">
        <f>RAM_3[[#This Row],[Column12]]*RAM_3[[#This Row],[Column2]]</f>
        <v>55435.75</v>
      </c>
      <c r="I25" s="4"/>
      <c r="J25" s="4"/>
    </row>
    <row r="26" spans="1:10" x14ac:dyDescent="0.25">
      <c r="G26"/>
      <c r="H26" s="17"/>
      <c r="I26" s="4"/>
      <c r="J26" s="4"/>
    </row>
    <row r="27" spans="1:10" x14ac:dyDescent="0.25">
      <c r="G27"/>
      <c r="H27" s="18"/>
      <c r="I27" s="4"/>
      <c r="J27" s="4"/>
    </row>
    <row r="28" spans="1:10" x14ac:dyDescent="0.25">
      <c r="A28" s="10">
        <v>45748</v>
      </c>
      <c r="B28" s="11"/>
      <c r="C28" s="11" t="s">
        <v>30</v>
      </c>
      <c r="D28" s="11">
        <v>2</v>
      </c>
      <c r="E28" s="11"/>
      <c r="F28" s="11"/>
      <c r="G28" s="11"/>
      <c r="H28" s="17">
        <v>26561</v>
      </c>
      <c r="I28" s="4"/>
      <c r="J28" s="4"/>
    </row>
    <row r="29" spans="1:10" x14ac:dyDescent="0.25">
      <c r="A29" s="10">
        <v>45749</v>
      </c>
      <c r="B29" s="11"/>
      <c r="C29" s="11" t="s">
        <v>30</v>
      </c>
      <c r="D29" s="11">
        <v>10</v>
      </c>
      <c r="E29" s="11"/>
      <c r="F29" s="11"/>
      <c r="G29" s="11"/>
      <c r="H29" s="17">
        <v>58589.2</v>
      </c>
      <c r="I29" s="4"/>
      <c r="J29" s="4"/>
    </row>
    <row r="30" spans="1:10" x14ac:dyDescent="0.25">
      <c r="A30" s="10">
        <v>45751</v>
      </c>
      <c r="B30" s="11"/>
      <c r="C30" s="11" t="s">
        <v>9</v>
      </c>
      <c r="D30" s="11">
        <v>21</v>
      </c>
      <c r="E30" s="11"/>
      <c r="F30" s="11">
        <v>1082.7</v>
      </c>
      <c r="G30" s="11">
        <v>77.5</v>
      </c>
      <c r="H30" s="17">
        <f>RAM_3[[#This Row],[Column2]]*RAM_3[[#This Row],[Column12]]</f>
        <v>83909.25</v>
      </c>
      <c r="I30" s="4"/>
      <c r="J30" s="4"/>
    </row>
    <row r="31" spans="1:10" x14ac:dyDescent="0.25">
      <c r="A31" s="10">
        <v>45769</v>
      </c>
      <c r="B31" s="11"/>
      <c r="C31" s="11" t="s">
        <v>30</v>
      </c>
      <c r="D31" s="11">
        <v>114</v>
      </c>
      <c r="E31" s="11">
        <v>9</v>
      </c>
      <c r="F31" s="11">
        <v>214.4</v>
      </c>
      <c r="G31" s="11">
        <v>96</v>
      </c>
      <c r="H31" s="17">
        <f>RAM_3[[#This Row],[Column2]]*RAM_3[[#This Row],[Column12]]</f>
        <v>20582.400000000001</v>
      </c>
      <c r="I31" s="4"/>
      <c r="J31" s="4"/>
    </row>
    <row r="32" spans="1:10" x14ac:dyDescent="0.25">
      <c r="A32" s="10">
        <v>45771</v>
      </c>
      <c r="B32" s="11"/>
      <c r="C32" s="11" t="s">
        <v>30</v>
      </c>
      <c r="D32" s="11">
        <v>133</v>
      </c>
      <c r="E32" s="11">
        <v>18</v>
      </c>
      <c r="F32" s="11">
        <v>427.3</v>
      </c>
      <c r="G32" s="11">
        <v>94</v>
      </c>
      <c r="H32" s="17">
        <f>RAM_3[[#This Row],[Column2]]*RAM_3[[#This Row],[Column12]]</f>
        <v>40166.200000000004</v>
      </c>
      <c r="I32" s="4"/>
      <c r="J32" s="4"/>
    </row>
    <row r="33" spans="1:10" x14ac:dyDescent="0.25">
      <c r="A33" s="10">
        <v>45784</v>
      </c>
      <c r="B33" s="11"/>
      <c r="C33" s="11" t="s">
        <v>27</v>
      </c>
      <c r="D33" s="11">
        <v>188</v>
      </c>
      <c r="E33" s="11">
        <v>17</v>
      </c>
      <c r="F33" s="11">
        <v>477.9</v>
      </c>
      <c r="G33" s="11">
        <v>0</v>
      </c>
      <c r="H33" s="17">
        <f>RAM_3[[#This Row],[Column2]]*RAM_3[[#This Row],[Column12]]</f>
        <v>0</v>
      </c>
      <c r="I33" s="4"/>
      <c r="J33" s="4"/>
    </row>
    <row r="34" spans="1:10" x14ac:dyDescent="0.25">
      <c r="A34" s="10">
        <v>45787</v>
      </c>
      <c r="B34" s="11"/>
      <c r="C34" s="11" t="s">
        <v>27</v>
      </c>
      <c r="D34" s="11">
        <v>211</v>
      </c>
      <c r="E34" s="11">
        <v>30</v>
      </c>
      <c r="F34" s="11">
        <v>845</v>
      </c>
      <c r="G34" s="11">
        <v>92.5</v>
      </c>
      <c r="H34" s="17">
        <f>RAM_3[[#This Row],[Column2]]*RAM_3[[#This Row],[Column12]]</f>
        <v>78162.5</v>
      </c>
      <c r="I34" s="4"/>
      <c r="J34" s="4"/>
    </row>
    <row r="35" spans="1:10" x14ac:dyDescent="0.25">
      <c r="A35" s="10">
        <v>45790</v>
      </c>
      <c r="B35" s="11"/>
      <c r="C35" s="11" t="s">
        <v>30</v>
      </c>
      <c r="D35" s="11">
        <v>219</v>
      </c>
      <c r="E35" s="11">
        <v>27</v>
      </c>
      <c r="F35" s="11">
        <v>644</v>
      </c>
      <c r="G35" s="11">
        <v>94</v>
      </c>
      <c r="H35" s="17">
        <f>RAM_3[[#This Row],[Column2]]*RAM_3[[#This Row],[Column12]]</f>
        <v>60536</v>
      </c>
      <c r="I35" s="4"/>
      <c r="J35" s="4"/>
    </row>
    <row r="36" spans="1:10" x14ac:dyDescent="0.25">
      <c r="A36" s="10">
        <v>45790</v>
      </c>
      <c r="B36" s="11"/>
      <c r="C36" s="11" t="s">
        <v>27</v>
      </c>
      <c r="D36" s="11">
        <v>220</v>
      </c>
      <c r="E36" s="11">
        <v>24</v>
      </c>
      <c r="F36" s="11">
        <v>680.1</v>
      </c>
      <c r="G36" s="11">
        <v>92.5</v>
      </c>
      <c r="H36" s="17">
        <f>RAM_3[[#This Row],[Column2]]*RAM_3[[#This Row],[Column12]]</f>
        <v>62909.25</v>
      </c>
      <c r="I36" s="4"/>
      <c r="J36" s="4"/>
    </row>
    <row r="37" spans="1:10" x14ac:dyDescent="0.25">
      <c r="A37" s="10">
        <v>45793</v>
      </c>
      <c r="B37" s="11"/>
      <c r="C37" s="11" t="s">
        <v>28</v>
      </c>
      <c r="D37" s="11">
        <v>246</v>
      </c>
      <c r="E37" s="11">
        <v>48</v>
      </c>
      <c r="F37" s="11">
        <v>1249.8</v>
      </c>
      <c r="G37" s="11">
        <v>82.5</v>
      </c>
      <c r="H37" s="17">
        <f>RAM_3[[#This Row],[Column2]]*RAM_3[[#This Row],[Column12]]</f>
        <v>103108.5</v>
      </c>
      <c r="I37" s="13"/>
      <c r="J37" s="4"/>
    </row>
    <row r="38" spans="1:10" x14ac:dyDescent="0.25">
      <c r="A38" s="10">
        <v>45794</v>
      </c>
      <c r="B38" s="11"/>
      <c r="C38" s="11" t="s">
        <v>30</v>
      </c>
      <c r="D38" s="11">
        <v>252</v>
      </c>
      <c r="E38" s="11">
        <v>40</v>
      </c>
      <c r="F38" s="11">
        <v>958.8</v>
      </c>
      <c r="G38" s="11">
        <v>94</v>
      </c>
      <c r="H38" s="17">
        <f>RAM_3[[#This Row],[Column2]]*RAM_3[[#This Row],[Column12]]</f>
        <v>90127.2</v>
      </c>
      <c r="I38" s="13"/>
      <c r="J38" s="4"/>
    </row>
    <row r="39" spans="1:10" x14ac:dyDescent="0.25">
      <c r="A39" s="10">
        <v>45796</v>
      </c>
      <c r="B39" s="11"/>
      <c r="C39" s="11" t="s">
        <v>28</v>
      </c>
      <c r="D39" s="11">
        <v>261</v>
      </c>
      <c r="E39" s="11">
        <v>24</v>
      </c>
      <c r="F39" s="11">
        <v>629.4</v>
      </c>
      <c r="G39" s="11">
        <v>82.5</v>
      </c>
      <c r="H39" s="17">
        <f>RAM_3[[#This Row],[Column2]]*RAM_3[[#This Row],[Column12]]</f>
        <v>51925.5</v>
      </c>
      <c r="I39" s="13"/>
      <c r="J39" s="4"/>
    </row>
    <row r="40" spans="1:10" x14ac:dyDescent="0.25">
      <c r="A40" s="10">
        <v>45808</v>
      </c>
      <c r="B40" s="11"/>
      <c r="C40" s="11" t="s">
        <v>30</v>
      </c>
      <c r="D40" s="11">
        <v>325</v>
      </c>
      <c r="E40" s="11">
        <v>12</v>
      </c>
      <c r="F40" s="11">
        <v>262.7</v>
      </c>
      <c r="G40" s="11">
        <v>94</v>
      </c>
      <c r="H40" s="17">
        <f>RAM_3[[#This Row],[Column2]]*RAM_3[[#This Row],[Column12]]</f>
        <v>24693.8</v>
      </c>
      <c r="I40" s="13"/>
      <c r="J40" s="4"/>
    </row>
    <row r="41" spans="1:10" x14ac:dyDescent="0.25">
      <c r="A41" s="10">
        <v>45813</v>
      </c>
      <c r="B41" s="11"/>
      <c r="C41" s="11" t="s">
        <v>27</v>
      </c>
      <c r="D41" s="11">
        <v>345</v>
      </c>
      <c r="E41" s="11">
        <v>14</v>
      </c>
      <c r="F41" s="11">
        <v>389.8</v>
      </c>
      <c r="G41" s="11">
        <v>92.5</v>
      </c>
      <c r="H41" s="17">
        <f>RAM_3[[#This Row],[Column2]]*RAM_3[[#This Row],[Column12]]</f>
        <v>36056.5</v>
      </c>
      <c r="I41" s="13"/>
      <c r="J41" s="4"/>
    </row>
    <row r="42" spans="1:10" x14ac:dyDescent="0.25">
      <c r="A42" s="10">
        <v>45814</v>
      </c>
      <c r="B42" s="11"/>
      <c r="C42" s="11" t="s">
        <v>27</v>
      </c>
      <c r="D42" s="11">
        <v>354</v>
      </c>
      <c r="E42" s="11">
        <v>18</v>
      </c>
      <c r="F42" s="11">
        <v>496.2</v>
      </c>
      <c r="G42" s="11">
        <v>92.5</v>
      </c>
      <c r="H42" s="17">
        <f>RAM_3[[#This Row],[Column2]]*RAM_3[[#This Row],[Column12]]</f>
        <v>45898.5</v>
      </c>
      <c r="I42" s="13"/>
      <c r="J42" s="4"/>
    </row>
    <row r="43" spans="1:10" x14ac:dyDescent="0.25">
      <c r="A43" s="10">
        <v>45818</v>
      </c>
      <c r="B43" s="11"/>
      <c r="C43" s="11" t="s">
        <v>27</v>
      </c>
      <c r="D43" s="11">
        <v>365</v>
      </c>
      <c r="E43" s="11">
        <v>24</v>
      </c>
      <c r="F43" s="11">
        <v>668</v>
      </c>
      <c r="G43" s="11">
        <v>92.5</v>
      </c>
      <c r="H43" s="17">
        <f>RAM_3[[#This Row],[Column2]]*RAM_3[[#This Row],[Column12]]</f>
        <v>61790</v>
      </c>
      <c r="I43" s="13"/>
      <c r="J43" s="4"/>
    </row>
    <row r="44" spans="1:10" x14ac:dyDescent="0.25">
      <c r="A44" s="10">
        <v>45818</v>
      </c>
      <c r="B44" s="11"/>
      <c r="C44" s="11" t="s">
        <v>27</v>
      </c>
      <c r="D44" s="11">
        <v>374</v>
      </c>
      <c r="E44" s="11">
        <v>12</v>
      </c>
      <c r="F44" s="11">
        <v>334</v>
      </c>
      <c r="G44" s="11">
        <v>92.5</v>
      </c>
      <c r="H44" s="17">
        <f>RAM_3[[#This Row],[Column2]]*RAM_3[[#This Row],[Column12]]</f>
        <v>30895</v>
      </c>
      <c r="I44" s="13"/>
      <c r="J44" s="4"/>
    </row>
    <row r="45" spans="1:10" x14ac:dyDescent="0.25">
      <c r="A45" s="10">
        <v>45818</v>
      </c>
      <c r="B45" s="11"/>
      <c r="C45" s="11" t="s">
        <v>30</v>
      </c>
      <c r="D45" s="11">
        <v>375</v>
      </c>
      <c r="E45" s="11">
        <v>9</v>
      </c>
      <c r="F45" s="11">
        <v>196.6</v>
      </c>
      <c r="G45" s="11">
        <v>94</v>
      </c>
      <c r="H45" s="17">
        <f>RAM_3[[#This Row],[Column2]]*RAM_3[[#This Row],[Column12]]</f>
        <v>18480.399999999998</v>
      </c>
      <c r="I45" s="13"/>
      <c r="J45" s="4"/>
    </row>
    <row r="46" spans="1:10" x14ac:dyDescent="0.25">
      <c r="G46"/>
      <c r="H46" s="17"/>
      <c r="I46" s="4"/>
      <c r="J46" s="4"/>
    </row>
    <row r="47" spans="1:10" x14ac:dyDescent="0.25">
      <c r="G47"/>
      <c r="H47" s="17"/>
      <c r="I47" s="4"/>
      <c r="J47" s="4"/>
    </row>
    <row r="48" spans="1:10" x14ac:dyDescent="0.25">
      <c r="G48"/>
      <c r="H48" s="17"/>
      <c r="I48" s="4"/>
      <c r="J48" s="4"/>
    </row>
    <row r="49" spans="1:10" x14ac:dyDescent="0.25">
      <c r="G49"/>
      <c r="H49" s="17"/>
      <c r="I49" s="4"/>
      <c r="J49" s="4"/>
    </row>
    <row r="50" spans="1:10" x14ac:dyDescent="0.25">
      <c r="G50"/>
      <c r="H50" s="17"/>
      <c r="I50" s="4"/>
      <c r="J50" s="4"/>
    </row>
    <row r="51" spans="1:10" x14ac:dyDescent="0.25">
      <c r="A51" s="3">
        <v>45684</v>
      </c>
      <c r="C51" t="s">
        <v>16</v>
      </c>
      <c r="G51"/>
      <c r="H51" s="18"/>
      <c r="I51" s="4">
        <v>100000</v>
      </c>
      <c r="J51" s="4"/>
    </row>
    <row r="52" spans="1:10" x14ac:dyDescent="0.25">
      <c r="A52" s="3">
        <v>45691</v>
      </c>
      <c r="C52" t="s">
        <v>17</v>
      </c>
      <c r="G52"/>
      <c r="H52" s="18"/>
      <c r="I52" s="4">
        <v>34500</v>
      </c>
      <c r="J52" s="4"/>
    </row>
    <row r="53" spans="1:10" x14ac:dyDescent="0.25">
      <c r="A53" s="3">
        <v>45709</v>
      </c>
      <c r="C53" t="s">
        <v>23</v>
      </c>
      <c r="I53" s="4">
        <v>58000</v>
      </c>
      <c r="J53" s="4"/>
    </row>
    <row r="54" spans="1:10" x14ac:dyDescent="0.25">
      <c r="A54" s="3">
        <v>45700</v>
      </c>
      <c r="C54" t="s">
        <v>18</v>
      </c>
      <c r="I54" s="4">
        <v>35000</v>
      </c>
      <c r="J54" s="4"/>
    </row>
    <row r="55" spans="1:10" x14ac:dyDescent="0.25">
      <c r="A55" s="3" t="s">
        <v>20</v>
      </c>
      <c r="C55" t="s">
        <v>19</v>
      </c>
      <c r="I55" s="4">
        <v>149000</v>
      </c>
    </row>
    <row r="56" spans="1:10" x14ac:dyDescent="0.25">
      <c r="A56" s="3" t="s">
        <v>20</v>
      </c>
      <c r="C56" t="s">
        <v>21</v>
      </c>
      <c r="I56" s="4">
        <v>100000</v>
      </c>
    </row>
    <row r="57" spans="1:10" x14ac:dyDescent="0.25">
      <c r="A57" s="3">
        <v>45713</v>
      </c>
      <c r="C57" t="s">
        <v>21</v>
      </c>
      <c r="I57" s="4">
        <v>50000</v>
      </c>
    </row>
    <row r="58" spans="1:10" x14ac:dyDescent="0.25">
      <c r="A58" s="3">
        <v>45713</v>
      </c>
      <c r="C58" t="s">
        <v>18</v>
      </c>
      <c r="I58" s="4">
        <v>40000</v>
      </c>
    </row>
    <row r="59" spans="1:10" x14ac:dyDescent="0.25">
      <c r="A59" s="3">
        <v>45713</v>
      </c>
      <c r="C59" t="s">
        <v>22</v>
      </c>
      <c r="I59" s="4">
        <v>30000</v>
      </c>
    </row>
    <row r="60" spans="1:10" x14ac:dyDescent="0.25">
      <c r="A60" s="3">
        <v>45713</v>
      </c>
      <c r="C60" t="s">
        <v>22</v>
      </c>
      <c r="I60" s="4">
        <v>10000</v>
      </c>
    </row>
    <row r="61" spans="1:10" x14ac:dyDescent="0.25">
      <c r="A61" s="3">
        <v>45716</v>
      </c>
      <c r="C61" t="s">
        <v>18</v>
      </c>
      <c r="I61" s="4">
        <v>10000</v>
      </c>
    </row>
    <row r="62" spans="1:10" x14ac:dyDescent="0.25">
      <c r="A62" s="3">
        <v>45721</v>
      </c>
      <c r="C62" t="s">
        <v>23</v>
      </c>
      <c r="I62" s="4">
        <v>30000</v>
      </c>
    </row>
    <row r="63" spans="1:10" x14ac:dyDescent="0.25">
      <c r="A63" s="3">
        <v>45724</v>
      </c>
      <c r="C63" t="s">
        <v>24</v>
      </c>
      <c r="I63" s="4">
        <v>50000</v>
      </c>
    </row>
    <row r="64" spans="1:10" x14ac:dyDescent="0.25">
      <c r="A64" s="3">
        <v>45726</v>
      </c>
      <c r="C64" t="s">
        <v>24</v>
      </c>
      <c r="I64" s="4">
        <v>2000</v>
      </c>
    </row>
    <row r="65" spans="1:9" x14ac:dyDescent="0.25">
      <c r="A65" s="3">
        <v>45727</v>
      </c>
      <c r="C65" t="s">
        <v>23</v>
      </c>
      <c r="I65" s="4">
        <v>20000</v>
      </c>
    </row>
    <row r="66" spans="1:9" x14ac:dyDescent="0.25">
      <c r="A66" s="3">
        <v>45728</v>
      </c>
      <c r="C66" t="s">
        <v>24</v>
      </c>
      <c r="I66" s="4">
        <v>8000</v>
      </c>
    </row>
    <row r="67" spans="1:9" x14ac:dyDescent="0.25">
      <c r="A67" s="3">
        <v>45728</v>
      </c>
      <c r="C67" t="s">
        <v>24</v>
      </c>
      <c r="I67" s="4">
        <v>20000</v>
      </c>
    </row>
    <row r="68" spans="1:9" x14ac:dyDescent="0.25">
      <c r="A68" s="3">
        <v>45728</v>
      </c>
      <c r="C68" t="s">
        <v>24</v>
      </c>
      <c r="I68" s="4">
        <v>36000</v>
      </c>
    </row>
    <row r="69" spans="1:9" x14ac:dyDescent="0.25">
      <c r="A69" s="3">
        <v>45728</v>
      </c>
      <c r="C69" t="s">
        <v>24</v>
      </c>
      <c r="I69" s="4">
        <v>28000</v>
      </c>
    </row>
    <row r="70" spans="1:9" x14ac:dyDescent="0.25">
      <c r="A70" s="3">
        <v>45731</v>
      </c>
      <c r="C70" t="s">
        <v>24</v>
      </c>
      <c r="I70" s="4">
        <v>20000</v>
      </c>
    </row>
    <row r="71" spans="1:9" x14ac:dyDescent="0.25">
      <c r="A71" s="3">
        <v>45736</v>
      </c>
      <c r="C71" t="s">
        <v>25</v>
      </c>
      <c r="I71" s="4">
        <v>25000</v>
      </c>
    </row>
    <row r="72" spans="1:9" x14ac:dyDescent="0.25">
      <c r="A72" s="3">
        <v>45737</v>
      </c>
      <c r="C72" t="s">
        <v>25</v>
      </c>
      <c r="I72" s="4">
        <v>20000</v>
      </c>
    </row>
    <row r="73" spans="1:9" x14ac:dyDescent="0.25">
      <c r="A73" s="3">
        <v>45740</v>
      </c>
      <c r="C73" t="s">
        <v>26</v>
      </c>
      <c r="I73" s="4">
        <v>50000</v>
      </c>
    </row>
    <row r="74" spans="1:9" x14ac:dyDescent="0.25">
      <c r="I74" s="4"/>
    </row>
    <row r="75" spans="1:9" x14ac:dyDescent="0.25">
      <c r="A75" s="3">
        <v>45768</v>
      </c>
      <c r="C75" t="s">
        <v>24</v>
      </c>
      <c r="I75" s="4">
        <v>80000</v>
      </c>
    </row>
    <row r="76" spans="1:9" x14ac:dyDescent="0.25">
      <c r="A76" s="3">
        <v>45768</v>
      </c>
      <c r="C76" t="s">
        <v>24</v>
      </c>
      <c r="I76" s="4">
        <v>20000</v>
      </c>
    </row>
    <row r="77" spans="1:9" x14ac:dyDescent="0.25">
      <c r="A77" s="3">
        <v>45770</v>
      </c>
      <c r="C77" t="s">
        <v>24</v>
      </c>
      <c r="I77" s="4">
        <v>50000</v>
      </c>
    </row>
    <row r="78" spans="1:9" x14ac:dyDescent="0.25">
      <c r="A78" s="3">
        <v>45770</v>
      </c>
      <c r="C78" t="s">
        <v>24</v>
      </c>
      <c r="I78" s="4">
        <v>40000</v>
      </c>
    </row>
    <row r="79" spans="1:9" x14ac:dyDescent="0.25">
      <c r="A79" s="3">
        <v>45771</v>
      </c>
      <c r="C79" t="s">
        <v>24</v>
      </c>
      <c r="I79" s="4">
        <v>50000</v>
      </c>
    </row>
    <row r="80" spans="1:9" x14ac:dyDescent="0.25">
      <c r="A80" s="3">
        <v>45774</v>
      </c>
      <c r="C80" t="s">
        <v>22</v>
      </c>
      <c r="I80" s="4">
        <v>60000</v>
      </c>
    </row>
    <row r="81" spans="1:9" x14ac:dyDescent="0.25">
      <c r="A81" s="3">
        <v>45790</v>
      </c>
      <c r="C81" t="s">
        <v>29</v>
      </c>
      <c r="I81" s="4">
        <v>100000</v>
      </c>
    </row>
    <row r="82" spans="1:9" x14ac:dyDescent="0.25">
      <c r="A82" s="3">
        <v>45791</v>
      </c>
      <c r="C82" t="s">
        <v>24</v>
      </c>
      <c r="I82" s="4">
        <v>21750</v>
      </c>
    </row>
    <row r="83" spans="1:9" x14ac:dyDescent="0.25">
      <c r="A83" s="3">
        <v>45792</v>
      </c>
      <c r="C83" t="s">
        <v>24</v>
      </c>
      <c r="I83" s="4">
        <v>90000</v>
      </c>
    </row>
    <row r="84" spans="1:9" thickBot="1" x14ac:dyDescent="0.3">
      <c r="A84" t="s">
        <v>11</v>
      </c>
      <c r="E84">
        <f>SUBTOTAL(109,RAM_3[Column1])</f>
        <v>888</v>
      </c>
      <c r="G84"/>
      <c r="H84" s="19">
        <f>SUBTOTAL(109,RAM_3[DEBIT])</f>
        <v>1960831.0499999998</v>
      </c>
      <c r="I84" s="4">
        <f>SUBTOTAL(109,RAM_3[CREDIT])</f>
        <v>1437250</v>
      </c>
    </row>
    <row r="85" spans="1:9" ht="16.5" thickTop="1" x14ac:dyDescent="0.25">
      <c r="I85" s="15">
        <f>RAM_3[[#Totals],[DEBIT]]-RAM_3[[#Totals],[CREDIT]]+0.7</f>
        <v>523581.74999999983</v>
      </c>
    </row>
    <row r="88" spans="1:9" ht="15" x14ac:dyDescent="0.25">
      <c r="E88" s="4"/>
      <c r="F88" s="4"/>
      <c r="G88"/>
    </row>
    <row r="89" spans="1:9" ht="15" x14ac:dyDescent="0.25">
      <c r="E89" s="4"/>
      <c r="F89" s="4"/>
      <c r="G89"/>
    </row>
    <row r="90" spans="1:9" ht="15" x14ac:dyDescent="0.25">
      <c r="E90" s="4"/>
      <c r="F90" s="4"/>
      <c r="G90"/>
    </row>
    <row r="91" spans="1:9" ht="15" x14ac:dyDescent="0.25">
      <c r="E91" s="4"/>
      <c r="F91" s="4"/>
      <c r="G91"/>
    </row>
    <row r="92" spans="1:9" ht="15" x14ac:dyDescent="0.25">
      <c r="E92" s="4"/>
      <c r="F92" s="4"/>
      <c r="G92"/>
    </row>
    <row r="93" spans="1:9" ht="15" x14ac:dyDescent="0.25">
      <c r="E93" s="4"/>
      <c r="F93" s="4"/>
      <c r="G93"/>
    </row>
    <row r="94" spans="1:9" ht="15" x14ac:dyDescent="0.25">
      <c r="E94" s="4"/>
      <c r="F94" s="4"/>
      <c r="G94"/>
    </row>
    <row r="95" spans="1:9" ht="15" x14ac:dyDescent="0.25">
      <c r="E95" s="4"/>
      <c r="F95" s="4"/>
      <c r="G95"/>
    </row>
    <row r="96" spans="1:9" ht="15" x14ac:dyDescent="0.25">
      <c r="E96" s="4"/>
      <c r="F96" s="4"/>
      <c r="G96"/>
    </row>
    <row r="97" spans="5:7" ht="15" x14ac:dyDescent="0.25">
      <c r="E97" s="4"/>
      <c r="F97" s="4"/>
      <c r="G97"/>
    </row>
    <row r="98" spans="5:7" ht="15" x14ac:dyDescent="0.25">
      <c r="E98" s="4"/>
      <c r="F98" s="4"/>
      <c r="G98"/>
    </row>
    <row r="99" spans="5:7" ht="15" x14ac:dyDescent="0.25">
      <c r="E99" s="4"/>
      <c r="F99" s="4"/>
      <c r="G99"/>
    </row>
    <row r="100" spans="5:7" ht="15" x14ac:dyDescent="0.25">
      <c r="E100" s="4"/>
      <c r="F100" s="4"/>
      <c r="G100"/>
    </row>
    <row r="101" spans="5:7" ht="15" x14ac:dyDescent="0.25">
      <c r="E101" s="4"/>
      <c r="F101" s="4"/>
      <c r="G101"/>
    </row>
    <row r="102" spans="5:7" ht="15" x14ac:dyDescent="0.25">
      <c r="E102" s="4"/>
      <c r="F102" s="4"/>
      <c r="G102"/>
    </row>
  </sheetData>
  <mergeCells count="1">
    <mergeCell ref="A1:I1"/>
  </mergeCells>
  <pageMargins left="0" right="0" top="0" bottom="0" header="0.31496062992125984" footer="0.31496062992125984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FF00"/>
  </sheetPr>
  <dimension ref="A1:I69"/>
  <sheetViews>
    <sheetView zoomScaleNormal="100" workbookViewId="0">
      <selection activeCell="A26" sqref="A26"/>
    </sheetView>
  </sheetViews>
  <sheetFormatPr defaultRowHeight="15.75" x14ac:dyDescent="0.25"/>
  <cols>
    <col min="1" max="1" width="15.85546875" style="3" bestFit="1" customWidth="1"/>
    <col min="2" max="2" width="17.7109375" customWidth="1"/>
    <col min="3" max="3" width="8.5703125" customWidth="1"/>
    <col min="4" max="4" width="6.140625" customWidth="1"/>
    <col min="5" max="5" width="8.5703125" customWidth="1"/>
    <col min="6" max="6" width="7.28515625" style="1" customWidth="1"/>
    <col min="7" max="7" width="16" style="19" customWidth="1"/>
    <col min="8" max="8" width="17.140625" customWidth="1"/>
  </cols>
  <sheetData>
    <row r="1" spans="1:8" ht="15" x14ac:dyDescent="0.25">
      <c r="A1" s="45" t="s">
        <v>6</v>
      </c>
      <c r="B1" s="46"/>
      <c r="C1" s="46"/>
      <c r="D1" s="46"/>
      <c r="E1" s="46"/>
      <c r="F1" s="46"/>
      <c r="G1" s="46"/>
      <c r="H1" s="46"/>
    </row>
    <row r="2" spans="1:8" s="5" customFormat="1" ht="23.25" x14ac:dyDescent="0.35">
      <c r="A2" s="6" t="s">
        <v>0</v>
      </c>
      <c r="B2" s="2" t="s">
        <v>2</v>
      </c>
      <c r="C2" s="7" t="s">
        <v>3</v>
      </c>
      <c r="D2" s="14" t="s">
        <v>13</v>
      </c>
      <c r="E2" s="14" t="s">
        <v>15</v>
      </c>
      <c r="F2" s="14" t="s">
        <v>14</v>
      </c>
      <c r="G2" s="16" t="s">
        <v>4</v>
      </c>
      <c r="H2" s="8" t="s">
        <v>5</v>
      </c>
    </row>
    <row r="3" spans="1:8" s="9" customFormat="1" ht="23.25" x14ac:dyDescent="0.35">
      <c r="A3" s="10">
        <v>45682</v>
      </c>
      <c r="B3" s="11" t="s">
        <v>9</v>
      </c>
      <c r="C3" s="11">
        <v>1253</v>
      </c>
      <c r="D3" s="11">
        <v>24</v>
      </c>
      <c r="E3" s="11">
        <v>595.1</v>
      </c>
      <c r="F3" s="11">
        <v>68</v>
      </c>
      <c r="G3" s="17">
        <v>40466.800000000003</v>
      </c>
      <c r="H3" s="4"/>
    </row>
    <row r="4" spans="1:8" x14ac:dyDescent="0.25">
      <c r="A4" s="10">
        <v>45687</v>
      </c>
      <c r="B4" s="11" t="s">
        <v>9</v>
      </c>
      <c r="C4" s="11">
        <v>1448</v>
      </c>
      <c r="D4" s="11">
        <v>48</v>
      </c>
      <c r="E4" s="11">
        <v>1231.3</v>
      </c>
      <c r="F4" s="11">
        <v>68</v>
      </c>
      <c r="G4" s="17">
        <v>83728.399999999994</v>
      </c>
      <c r="H4" s="4"/>
    </row>
    <row r="5" spans="1:8" x14ac:dyDescent="0.25">
      <c r="A5" s="10">
        <v>45688</v>
      </c>
      <c r="B5" s="11" t="s">
        <v>12</v>
      </c>
      <c r="C5" s="11">
        <v>1460</v>
      </c>
      <c r="D5" s="11">
        <v>24</v>
      </c>
      <c r="E5" s="11">
        <v>594.4</v>
      </c>
      <c r="F5" s="11">
        <v>60</v>
      </c>
      <c r="G5" s="17">
        <v>35664</v>
      </c>
      <c r="H5" s="4"/>
    </row>
    <row r="6" spans="1:8" x14ac:dyDescent="0.25">
      <c r="A6" s="10">
        <v>45703</v>
      </c>
      <c r="B6" s="11" t="s">
        <v>8</v>
      </c>
      <c r="C6" s="11">
        <v>1567</v>
      </c>
      <c r="D6" s="11">
        <v>35</v>
      </c>
      <c r="E6" s="11">
        <v>843</v>
      </c>
      <c r="F6" s="11">
        <v>0</v>
      </c>
      <c r="G6" s="17">
        <v>0</v>
      </c>
      <c r="H6" s="4"/>
    </row>
    <row r="7" spans="1:8" x14ac:dyDescent="0.25">
      <c r="A7" s="10">
        <v>45703</v>
      </c>
      <c r="B7" s="11" t="s">
        <v>8</v>
      </c>
      <c r="C7" s="11">
        <v>1573</v>
      </c>
      <c r="D7" s="11">
        <v>18</v>
      </c>
      <c r="E7" s="11">
        <v>431.7</v>
      </c>
      <c r="F7" s="11">
        <v>96</v>
      </c>
      <c r="G7" s="17">
        <v>41443.199999999997</v>
      </c>
      <c r="H7" s="4"/>
    </row>
    <row r="8" spans="1:8" x14ac:dyDescent="0.25">
      <c r="A8" s="10">
        <v>45705</v>
      </c>
      <c r="B8" s="11" t="s">
        <v>8</v>
      </c>
      <c r="C8" s="11">
        <v>1587</v>
      </c>
      <c r="D8" s="11">
        <v>12</v>
      </c>
      <c r="E8" s="11">
        <v>290.2</v>
      </c>
      <c r="F8" s="11">
        <v>96</v>
      </c>
      <c r="G8" s="17">
        <v>27859.200000000001</v>
      </c>
      <c r="H8" s="4"/>
    </row>
    <row r="9" spans="1:8" x14ac:dyDescent="0.25">
      <c r="A9" s="10">
        <v>45705</v>
      </c>
      <c r="B9" s="11" t="s">
        <v>8</v>
      </c>
      <c r="C9" s="11">
        <v>1591</v>
      </c>
      <c r="D9" s="11">
        <v>18</v>
      </c>
      <c r="E9" s="11">
        <v>437.6</v>
      </c>
      <c r="F9" s="11">
        <v>96</v>
      </c>
      <c r="G9" s="17">
        <v>42009.599999999999</v>
      </c>
      <c r="H9" s="4"/>
    </row>
    <row r="10" spans="1:8" x14ac:dyDescent="0.25">
      <c r="A10" s="10">
        <v>45706</v>
      </c>
      <c r="B10" s="11" t="s">
        <v>10</v>
      </c>
      <c r="C10" s="11">
        <v>1592</v>
      </c>
      <c r="D10" s="11">
        <v>6</v>
      </c>
      <c r="E10" s="11">
        <v>144.80000000000001</v>
      </c>
      <c r="F10" s="11">
        <v>92</v>
      </c>
      <c r="G10" s="17">
        <v>13321.6</v>
      </c>
      <c r="H10" s="4"/>
    </row>
    <row r="11" spans="1:8" x14ac:dyDescent="0.25">
      <c r="A11" s="10">
        <v>45706</v>
      </c>
      <c r="B11" s="11" t="s">
        <v>8</v>
      </c>
      <c r="C11" s="11">
        <v>1602</v>
      </c>
      <c r="D11" s="11">
        <v>16</v>
      </c>
      <c r="E11" s="11">
        <v>387</v>
      </c>
      <c r="F11" s="11">
        <v>96</v>
      </c>
      <c r="G11" s="17">
        <v>37152</v>
      </c>
      <c r="H11" s="4"/>
    </row>
    <row r="12" spans="1:8" x14ac:dyDescent="0.25">
      <c r="A12" s="10">
        <v>45707</v>
      </c>
      <c r="B12" s="11" t="s">
        <v>10</v>
      </c>
      <c r="C12" s="11">
        <v>1602</v>
      </c>
      <c r="D12" s="11">
        <v>2</v>
      </c>
      <c r="E12" s="11">
        <v>49.7</v>
      </c>
      <c r="F12" s="11">
        <v>92</v>
      </c>
      <c r="G12" s="17">
        <v>4572.3999999999996</v>
      </c>
      <c r="H12" s="4"/>
    </row>
    <row r="13" spans="1:8" x14ac:dyDescent="0.25">
      <c r="A13" s="10">
        <v>45709</v>
      </c>
      <c r="B13" s="11" t="s">
        <v>9</v>
      </c>
      <c r="C13" s="11">
        <v>1618</v>
      </c>
      <c r="D13" s="11">
        <v>15</v>
      </c>
      <c r="E13" s="11">
        <v>394.8</v>
      </c>
      <c r="F13" s="11">
        <v>77.5</v>
      </c>
      <c r="G13" s="17">
        <f>RAM_34[[#This Row],[Column12]]*RAM_34[[#This Row],[Column2]]</f>
        <v>30597</v>
      </c>
      <c r="H13" s="4"/>
    </row>
    <row r="14" spans="1:8" x14ac:dyDescent="0.25">
      <c r="A14" s="10">
        <v>45715</v>
      </c>
      <c r="B14" s="11" t="s">
        <v>8</v>
      </c>
      <c r="C14" s="11">
        <v>1649</v>
      </c>
      <c r="D14" s="11">
        <v>24</v>
      </c>
      <c r="E14" s="11">
        <v>583.20000000000005</v>
      </c>
      <c r="F14" s="11">
        <v>96</v>
      </c>
      <c r="G14" s="17">
        <v>55987.199999999997</v>
      </c>
      <c r="H14" s="4"/>
    </row>
    <row r="15" spans="1:8" x14ac:dyDescent="0.25">
      <c r="A15" s="10">
        <v>45719</v>
      </c>
      <c r="B15" s="13" t="s">
        <v>9</v>
      </c>
      <c r="C15" s="11">
        <v>1678</v>
      </c>
      <c r="D15" s="11">
        <v>48</v>
      </c>
      <c r="E15" s="11">
        <v>1169.2</v>
      </c>
      <c r="F15" s="11">
        <v>77.5</v>
      </c>
      <c r="G15" s="17">
        <f>RAM_34[[#This Row],[Column12]]*RAM_34[[#This Row],[Column2]]</f>
        <v>90613</v>
      </c>
      <c r="H15" s="4"/>
    </row>
    <row r="16" spans="1:8" x14ac:dyDescent="0.25">
      <c r="A16" s="10">
        <v>45719</v>
      </c>
      <c r="B16" s="11" t="s">
        <v>9</v>
      </c>
      <c r="C16" s="11">
        <v>1680</v>
      </c>
      <c r="D16" s="11">
        <v>21</v>
      </c>
      <c r="E16" s="11">
        <v>510.9</v>
      </c>
      <c r="F16" s="11">
        <v>77.5</v>
      </c>
      <c r="G16" s="17">
        <f>RAM_34[[#This Row],[Column12]]*RAM_34[[#This Row],[Column2]]</f>
        <v>39594.75</v>
      </c>
      <c r="H16" s="4"/>
    </row>
    <row r="17" spans="1:9" x14ac:dyDescent="0.25">
      <c r="A17" s="10">
        <v>45719</v>
      </c>
      <c r="B17" s="13" t="s">
        <v>8</v>
      </c>
      <c r="C17" s="11">
        <v>1681</v>
      </c>
      <c r="D17" s="11">
        <v>39</v>
      </c>
      <c r="E17" s="11">
        <v>950</v>
      </c>
      <c r="F17" s="11">
        <v>96</v>
      </c>
      <c r="G17" s="17">
        <f>RAM_34[[#This Row],[Column12]]*RAM_34[[#This Row],[Column2]]</f>
        <v>91200</v>
      </c>
      <c r="H17" s="4"/>
    </row>
    <row r="18" spans="1:9" x14ac:dyDescent="0.25">
      <c r="A18" s="10">
        <v>45722</v>
      </c>
      <c r="B18" s="11" t="s">
        <v>8</v>
      </c>
      <c r="C18" s="11">
        <v>1716</v>
      </c>
      <c r="D18" s="11">
        <v>30</v>
      </c>
      <c r="E18" s="11">
        <v>725</v>
      </c>
      <c r="F18" s="11">
        <v>96</v>
      </c>
      <c r="G18" s="17">
        <f>RAM_34[[#This Row],[Column12]]*RAM_34[[#This Row],[Column2]]</f>
        <v>69600</v>
      </c>
      <c r="H18" s="4"/>
    </row>
    <row r="19" spans="1:9" x14ac:dyDescent="0.25">
      <c r="A19" s="10">
        <v>45723</v>
      </c>
      <c r="B19" s="11" t="s">
        <v>9</v>
      </c>
      <c r="C19" s="11">
        <v>1720</v>
      </c>
      <c r="D19" s="11">
        <v>42</v>
      </c>
      <c r="E19" s="11">
        <v>1029.7</v>
      </c>
      <c r="F19" s="11">
        <v>77.5</v>
      </c>
      <c r="G19" s="17">
        <f>RAM_34[[#This Row],[Column12]]*RAM_34[[#This Row],[Column2]]</f>
        <v>79801.75</v>
      </c>
      <c r="H19" s="4"/>
      <c r="I19" s="4"/>
    </row>
    <row r="20" spans="1:9" x14ac:dyDescent="0.25">
      <c r="A20" s="10">
        <v>45723</v>
      </c>
      <c r="B20" s="11" t="s">
        <v>12</v>
      </c>
      <c r="C20" s="11">
        <v>1721</v>
      </c>
      <c r="D20" s="11">
        <v>12</v>
      </c>
      <c r="E20" s="11">
        <v>306.60000000000002</v>
      </c>
      <c r="F20" s="11">
        <v>60</v>
      </c>
      <c r="G20" s="17">
        <f>RAM_34[[#This Row],[Column12]]*RAM_34[[#This Row],[Column2]]</f>
        <v>18396</v>
      </c>
      <c r="H20" s="4"/>
      <c r="I20" s="4"/>
    </row>
    <row r="21" spans="1:9" x14ac:dyDescent="0.25">
      <c r="A21" s="10">
        <v>45727</v>
      </c>
      <c r="B21" s="11" t="s">
        <v>8</v>
      </c>
      <c r="C21" s="11">
        <v>1750</v>
      </c>
      <c r="D21" s="11">
        <v>33</v>
      </c>
      <c r="E21" s="11"/>
      <c r="F21" s="11"/>
      <c r="G21" s="17">
        <v>74784</v>
      </c>
      <c r="H21" s="4"/>
      <c r="I21" s="4"/>
    </row>
    <row r="22" spans="1:9" x14ac:dyDescent="0.25">
      <c r="A22" s="10">
        <v>45727</v>
      </c>
      <c r="B22" s="11" t="s">
        <v>10</v>
      </c>
      <c r="C22" s="11">
        <v>1750</v>
      </c>
      <c r="D22" s="11">
        <v>3</v>
      </c>
      <c r="E22" s="11"/>
      <c r="F22" s="11"/>
      <c r="G22" s="17">
        <v>6587.2</v>
      </c>
      <c r="H22" s="4"/>
      <c r="I22" s="4"/>
    </row>
    <row r="23" spans="1:9" x14ac:dyDescent="0.25">
      <c r="A23" s="10">
        <v>45728</v>
      </c>
      <c r="B23" s="11" t="s">
        <v>8</v>
      </c>
      <c r="C23" s="11">
        <v>1758</v>
      </c>
      <c r="D23" s="11">
        <v>33</v>
      </c>
      <c r="E23" s="11"/>
      <c r="F23" s="11"/>
      <c r="G23" s="17">
        <v>83472</v>
      </c>
      <c r="H23" s="4"/>
      <c r="I23" s="4"/>
    </row>
    <row r="24" spans="1:9" x14ac:dyDescent="0.25">
      <c r="A24" s="10">
        <v>45744</v>
      </c>
      <c r="B24" s="11" t="s">
        <v>12</v>
      </c>
      <c r="C24" s="11">
        <v>1859</v>
      </c>
      <c r="D24" s="11">
        <v>29</v>
      </c>
      <c r="E24" s="11">
        <v>735.9</v>
      </c>
      <c r="F24" s="11">
        <v>60</v>
      </c>
      <c r="G24" s="17">
        <f>RAM_34[[#This Row],[Column12]]*RAM_34[[#This Row],[Column2]]</f>
        <v>44154</v>
      </c>
      <c r="H24" s="4"/>
      <c r="I24" s="4"/>
    </row>
    <row r="25" spans="1:9" x14ac:dyDescent="0.25">
      <c r="A25" s="10">
        <v>45744</v>
      </c>
      <c r="B25" s="11" t="s">
        <v>9</v>
      </c>
      <c r="C25" s="11">
        <v>1860</v>
      </c>
      <c r="D25" s="11">
        <v>30</v>
      </c>
      <c r="E25" s="11">
        <v>715.3</v>
      </c>
      <c r="F25" s="11">
        <v>77.5</v>
      </c>
      <c r="G25" s="17">
        <f>RAM_34[[#This Row],[Column12]]*RAM_34[[#This Row],[Column2]]</f>
        <v>55435.75</v>
      </c>
      <c r="H25" s="4"/>
      <c r="I25" s="4"/>
    </row>
    <row r="26" spans="1:9" x14ac:dyDescent="0.25">
      <c r="F26"/>
      <c r="G26" s="17"/>
      <c r="H26" s="4"/>
      <c r="I26" s="4"/>
    </row>
    <row r="27" spans="1:9" x14ac:dyDescent="0.25">
      <c r="A27" s="3">
        <v>45684</v>
      </c>
      <c r="B27" t="s">
        <v>16</v>
      </c>
      <c r="F27"/>
      <c r="G27" s="18"/>
      <c r="H27" s="4">
        <v>100000</v>
      </c>
      <c r="I27" s="4"/>
    </row>
    <row r="28" spans="1:9" x14ac:dyDescent="0.25">
      <c r="A28" s="3">
        <v>45691</v>
      </c>
      <c r="B28" t="s">
        <v>17</v>
      </c>
      <c r="F28"/>
      <c r="G28" s="18"/>
      <c r="H28" s="4">
        <v>34500</v>
      </c>
      <c r="I28" s="4"/>
    </row>
    <row r="29" spans="1:9" x14ac:dyDescent="0.25">
      <c r="A29" s="3">
        <v>45709</v>
      </c>
      <c r="B29" t="s">
        <v>23</v>
      </c>
      <c r="H29" s="4">
        <v>58000</v>
      </c>
      <c r="I29" s="4"/>
    </row>
    <row r="30" spans="1:9" x14ac:dyDescent="0.25">
      <c r="A30" s="3">
        <v>45700</v>
      </c>
      <c r="B30" t="s">
        <v>18</v>
      </c>
      <c r="H30" s="4">
        <v>35000</v>
      </c>
      <c r="I30" s="4"/>
    </row>
    <row r="31" spans="1:9" x14ac:dyDescent="0.25">
      <c r="A31" s="3" t="s">
        <v>20</v>
      </c>
      <c r="B31" t="s">
        <v>19</v>
      </c>
      <c r="H31" s="4">
        <v>149000</v>
      </c>
    </row>
    <row r="32" spans="1:9" x14ac:dyDescent="0.25">
      <c r="A32" s="3" t="s">
        <v>20</v>
      </c>
      <c r="B32" t="s">
        <v>21</v>
      </c>
      <c r="H32" s="4">
        <v>100000</v>
      </c>
    </row>
    <row r="33" spans="1:8" x14ac:dyDescent="0.25">
      <c r="A33" s="3">
        <v>45713</v>
      </c>
      <c r="B33" t="s">
        <v>21</v>
      </c>
      <c r="H33" s="4">
        <v>50000</v>
      </c>
    </row>
    <row r="34" spans="1:8" x14ac:dyDescent="0.25">
      <c r="A34" s="3">
        <v>45713</v>
      </c>
      <c r="B34" t="s">
        <v>18</v>
      </c>
      <c r="H34" s="4">
        <v>40000</v>
      </c>
    </row>
    <row r="35" spans="1:8" x14ac:dyDescent="0.25">
      <c r="A35" s="3">
        <v>45713</v>
      </c>
      <c r="B35" t="s">
        <v>22</v>
      </c>
      <c r="H35" s="4">
        <v>30000</v>
      </c>
    </row>
    <row r="36" spans="1:8" x14ac:dyDescent="0.25">
      <c r="A36" s="3">
        <v>45713</v>
      </c>
      <c r="B36" t="s">
        <v>22</v>
      </c>
      <c r="H36" s="4">
        <v>10000</v>
      </c>
    </row>
    <row r="37" spans="1:8" x14ac:dyDescent="0.25">
      <c r="A37" s="3">
        <v>45716</v>
      </c>
      <c r="B37" t="s">
        <v>18</v>
      </c>
      <c r="H37" s="4">
        <v>10000</v>
      </c>
    </row>
    <row r="38" spans="1:8" x14ac:dyDescent="0.25">
      <c r="A38" s="3">
        <v>45721</v>
      </c>
      <c r="B38" t="s">
        <v>23</v>
      </c>
      <c r="H38" s="4">
        <v>30000</v>
      </c>
    </row>
    <row r="39" spans="1:8" x14ac:dyDescent="0.25">
      <c r="A39" s="3">
        <v>45724</v>
      </c>
      <c r="B39" t="s">
        <v>24</v>
      </c>
      <c r="H39" s="4">
        <v>50000</v>
      </c>
    </row>
    <row r="40" spans="1:8" x14ac:dyDescent="0.25">
      <c r="A40" s="3">
        <v>45726</v>
      </c>
      <c r="B40" t="s">
        <v>24</v>
      </c>
      <c r="H40" s="4">
        <v>2000</v>
      </c>
    </row>
    <row r="41" spans="1:8" x14ac:dyDescent="0.25">
      <c r="A41" s="3">
        <v>45727</v>
      </c>
      <c r="B41" t="s">
        <v>23</v>
      </c>
      <c r="H41" s="4">
        <v>20000</v>
      </c>
    </row>
    <row r="42" spans="1:8" x14ac:dyDescent="0.25">
      <c r="A42" s="3">
        <v>45728</v>
      </c>
      <c r="B42" t="s">
        <v>24</v>
      </c>
      <c r="H42" s="4">
        <v>8000</v>
      </c>
    </row>
    <row r="43" spans="1:8" x14ac:dyDescent="0.25">
      <c r="A43" s="3">
        <v>45728</v>
      </c>
      <c r="B43" t="s">
        <v>24</v>
      </c>
      <c r="H43" s="4">
        <v>20000</v>
      </c>
    </row>
    <row r="44" spans="1:8" x14ac:dyDescent="0.25">
      <c r="A44" s="3">
        <v>45728</v>
      </c>
      <c r="B44" t="s">
        <v>24</v>
      </c>
      <c r="H44" s="4">
        <v>36000</v>
      </c>
    </row>
    <row r="45" spans="1:8" x14ac:dyDescent="0.25">
      <c r="A45" s="3">
        <v>45728</v>
      </c>
      <c r="B45" t="s">
        <v>24</v>
      </c>
      <c r="H45" s="4">
        <v>28000</v>
      </c>
    </row>
    <row r="46" spans="1:8" x14ac:dyDescent="0.25">
      <c r="A46" s="3">
        <v>45731</v>
      </c>
      <c r="B46" t="s">
        <v>24</v>
      </c>
      <c r="H46" s="4">
        <v>20000</v>
      </c>
    </row>
    <row r="47" spans="1:8" x14ac:dyDescent="0.25">
      <c r="A47" s="3">
        <v>45736</v>
      </c>
      <c r="B47" t="s">
        <v>25</v>
      </c>
      <c r="H47" s="4">
        <v>25000</v>
      </c>
    </row>
    <row r="48" spans="1:8" x14ac:dyDescent="0.25">
      <c r="A48" s="3">
        <v>45737</v>
      </c>
      <c r="B48" t="s">
        <v>25</v>
      </c>
      <c r="H48" s="4">
        <v>20000</v>
      </c>
    </row>
    <row r="49" spans="1:8" x14ac:dyDescent="0.25">
      <c r="A49" s="3">
        <v>45740</v>
      </c>
      <c r="B49" t="s">
        <v>26</v>
      </c>
      <c r="H49" s="4">
        <v>50000</v>
      </c>
    </row>
    <row r="50" spans="1:8" x14ac:dyDescent="0.25">
      <c r="H50" s="4"/>
    </row>
    <row r="51" spans="1:8" ht="15" x14ac:dyDescent="0.25">
      <c r="A51" t="s">
        <v>11</v>
      </c>
      <c r="D51">
        <f>SUBTOTAL(109,RAM_34[Column1])</f>
        <v>562</v>
      </c>
      <c r="F51"/>
      <c r="G51" s="19">
        <f>SUBTOTAL(109,RAM_34[DEBIT])</f>
        <v>1066439.8500000001</v>
      </c>
      <c r="H51" s="4">
        <f>SUBTOTAL(109,RAM_34[CREDIT])</f>
        <v>925500</v>
      </c>
    </row>
    <row r="52" spans="1:8" x14ac:dyDescent="0.25">
      <c r="H52" s="20">
        <f>RAM_34[[#Totals],[DEBIT]]-RAM_34[[#Totals],[CREDIT]]+0.7</f>
        <v>140940.5500000001</v>
      </c>
    </row>
    <row r="55" spans="1:8" ht="15" x14ac:dyDescent="0.25">
      <c r="D55" s="4"/>
      <c r="E55" s="4"/>
      <c r="F55"/>
    </row>
    <row r="56" spans="1:8" ht="15" x14ac:dyDescent="0.25">
      <c r="D56" s="4"/>
      <c r="E56" s="4"/>
      <c r="F56"/>
    </row>
    <row r="57" spans="1:8" ht="15" x14ac:dyDescent="0.25">
      <c r="D57" s="4"/>
      <c r="E57" s="4"/>
      <c r="F57"/>
    </row>
    <row r="58" spans="1:8" ht="15" x14ac:dyDescent="0.25">
      <c r="D58" s="4"/>
      <c r="E58" s="4"/>
      <c r="F58"/>
    </row>
    <row r="59" spans="1:8" ht="15" x14ac:dyDescent="0.25">
      <c r="D59" s="4"/>
      <c r="E59" s="4"/>
      <c r="F59"/>
    </row>
    <row r="60" spans="1:8" ht="15" x14ac:dyDescent="0.25">
      <c r="D60" s="4"/>
      <c r="E60" s="4"/>
      <c r="F60"/>
    </row>
    <row r="61" spans="1:8" ht="15" x14ac:dyDescent="0.25">
      <c r="D61" s="4"/>
      <c r="E61" s="4"/>
      <c r="F61"/>
    </row>
    <row r="62" spans="1:8" ht="15" x14ac:dyDescent="0.25">
      <c r="D62" s="4"/>
      <c r="E62" s="4"/>
      <c r="F62"/>
    </row>
    <row r="63" spans="1:8" ht="15" x14ac:dyDescent="0.25">
      <c r="D63" s="4"/>
      <c r="E63" s="4"/>
      <c r="F63"/>
    </row>
    <row r="64" spans="1:8" ht="15" x14ac:dyDescent="0.25">
      <c r="D64" s="4"/>
      <c r="E64" s="4"/>
      <c r="F64"/>
    </row>
    <row r="65" spans="4:6" ht="15" x14ac:dyDescent="0.25">
      <c r="D65" s="4"/>
      <c r="E65" s="4"/>
      <c r="F65"/>
    </row>
    <row r="66" spans="4:6" ht="15" x14ac:dyDescent="0.25">
      <c r="D66" s="4"/>
      <c r="E66" s="4"/>
      <c r="F66"/>
    </row>
    <row r="67" spans="4:6" ht="15" x14ac:dyDescent="0.25">
      <c r="D67" s="4"/>
      <c r="E67" s="4"/>
      <c r="F67"/>
    </row>
    <row r="68" spans="4:6" ht="15" x14ac:dyDescent="0.25">
      <c r="D68" s="4"/>
      <c r="E68" s="4"/>
      <c r="F68"/>
    </row>
    <row r="69" spans="4:6" ht="15" x14ac:dyDescent="0.25">
      <c r="D69" s="4"/>
      <c r="E69" s="4"/>
      <c r="F69"/>
    </row>
  </sheetData>
  <mergeCells count="1">
    <mergeCell ref="A1:H1"/>
  </mergeCells>
  <hyperlinks>
    <hyperlink ref="H52" location="NHL2526Q1!A1" display="NHL2526Q1!A1"/>
  </hyperlinks>
  <pageMargins left="0" right="0" top="0" bottom="0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J76"/>
  <sheetViews>
    <sheetView tabSelected="1" zoomScale="145" zoomScaleNormal="145" workbookViewId="0">
      <selection activeCell="G7" sqref="G7"/>
    </sheetView>
  </sheetViews>
  <sheetFormatPr defaultRowHeight="12.75" x14ac:dyDescent="0.2"/>
  <cols>
    <col min="1" max="1" width="10.140625" style="26" bestFit="1" customWidth="1"/>
    <col min="2" max="2" width="36.5703125" style="21" hidden="1" customWidth="1"/>
    <col min="3" max="3" width="20" style="21" customWidth="1"/>
    <col min="4" max="4" width="8.28515625" style="21" bestFit="1" customWidth="1"/>
    <col min="5" max="5" width="12.5703125" style="21" bestFit="1" customWidth="1"/>
    <col min="6" max="6" width="13.5703125" style="21" bestFit="1" customWidth="1"/>
    <col min="7" max="7" width="9.42578125" style="21" customWidth="1"/>
    <col min="8" max="8" width="11.85546875" style="34" customWidth="1"/>
    <col min="9" max="9" width="12.7109375" style="21" bestFit="1" customWidth="1"/>
    <col min="10" max="16384" width="9.140625" style="21"/>
  </cols>
  <sheetData>
    <row r="1" spans="1:10" x14ac:dyDescent="0.2">
      <c r="A1" s="47" t="s">
        <v>6</v>
      </c>
      <c r="B1" s="48"/>
      <c r="C1" s="48"/>
      <c r="D1" s="48"/>
      <c r="E1" s="48"/>
      <c r="F1" s="48"/>
      <c r="G1" s="48"/>
      <c r="H1" s="48"/>
      <c r="I1" s="48"/>
    </row>
    <row r="2" spans="1:10" ht="13.5" thickBot="1" x14ac:dyDescent="0.25">
      <c r="A2" s="22" t="s">
        <v>0</v>
      </c>
      <c r="B2" s="23" t="s">
        <v>1</v>
      </c>
      <c r="C2" s="23" t="s">
        <v>2</v>
      </c>
      <c r="D2" s="23" t="s">
        <v>3</v>
      </c>
      <c r="E2" s="23" t="s">
        <v>13</v>
      </c>
      <c r="F2" s="23" t="s">
        <v>15</v>
      </c>
      <c r="G2" s="23" t="s">
        <v>14</v>
      </c>
      <c r="H2" s="24" t="s">
        <v>4</v>
      </c>
      <c r="I2" s="25" t="s">
        <v>5</v>
      </c>
    </row>
    <row r="3" spans="1:10" ht="14.25" thickTop="1" thickBot="1" x14ac:dyDescent="0.25">
      <c r="H3" s="27"/>
      <c r="I3" s="28"/>
      <c r="J3" s="28"/>
    </row>
    <row r="4" spans="1:10" ht="13.5" thickTop="1" x14ac:dyDescent="0.2">
      <c r="A4" s="29">
        <v>45748</v>
      </c>
      <c r="C4" s="21" t="s">
        <v>35</v>
      </c>
      <c r="H4" s="30">
        <f>RAM_34[[#Totals],[DEBIT]]-RAM_34[[#Totals],[CREDIT]]+0.7</f>
        <v>140940.5500000001</v>
      </c>
      <c r="I4" s="28"/>
      <c r="J4" s="28"/>
    </row>
    <row r="5" spans="1:10" x14ac:dyDescent="0.2">
      <c r="A5" s="29">
        <v>45748</v>
      </c>
      <c r="B5" s="31"/>
      <c r="C5" s="31" t="s">
        <v>30</v>
      </c>
      <c r="D5" s="31">
        <v>2</v>
      </c>
      <c r="E5" s="31"/>
      <c r="F5" s="31"/>
      <c r="G5" s="31"/>
      <c r="H5" s="32">
        <v>26561</v>
      </c>
      <c r="I5" s="28"/>
      <c r="J5" s="28"/>
    </row>
    <row r="6" spans="1:10" x14ac:dyDescent="0.2">
      <c r="A6" s="29">
        <v>45749</v>
      </c>
      <c r="B6" s="31"/>
      <c r="C6" s="31" t="s">
        <v>30</v>
      </c>
      <c r="D6" s="31">
        <v>10</v>
      </c>
      <c r="E6" s="31"/>
      <c r="F6" s="31"/>
      <c r="G6" s="31"/>
      <c r="H6" s="32">
        <v>58589.2</v>
      </c>
      <c r="I6" s="28"/>
      <c r="J6" s="28"/>
    </row>
    <row r="7" spans="1:10" x14ac:dyDescent="0.2">
      <c r="A7" s="29">
        <v>45751</v>
      </c>
      <c r="B7" s="31"/>
      <c r="C7" s="31" t="s">
        <v>9</v>
      </c>
      <c r="D7" s="31">
        <v>21</v>
      </c>
      <c r="E7" s="31"/>
      <c r="F7" s="31">
        <v>1082.7</v>
      </c>
      <c r="G7" s="31">
        <v>77.5</v>
      </c>
      <c r="H7" s="32">
        <f>RAM_35[[#This Row],[Column2]]*RAM_35[[#This Row],[Column12]]</f>
        <v>83909.25</v>
      </c>
      <c r="I7" s="28"/>
      <c r="J7" s="28"/>
    </row>
    <row r="8" spans="1:10" x14ac:dyDescent="0.2">
      <c r="A8" s="29">
        <v>45769</v>
      </c>
      <c r="B8" s="31"/>
      <c r="C8" s="31" t="s">
        <v>30</v>
      </c>
      <c r="D8" s="31">
        <v>114</v>
      </c>
      <c r="E8" s="31">
        <v>9</v>
      </c>
      <c r="F8" s="31">
        <v>214.4</v>
      </c>
      <c r="G8" s="31">
        <v>96</v>
      </c>
      <c r="H8" s="32">
        <f>RAM_35[[#This Row],[Column2]]*RAM_35[[#This Row],[Column12]]</f>
        <v>20582.400000000001</v>
      </c>
      <c r="I8" s="28"/>
      <c r="J8" s="28"/>
    </row>
    <row r="9" spans="1:10" x14ac:dyDescent="0.2">
      <c r="A9" s="29">
        <v>45771</v>
      </c>
      <c r="B9" s="31"/>
      <c r="C9" s="31" t="s">
        <v>30</v>
      </c>
      <c r="D9" s="31">
        <v>133</v>
      </c>
      <c r="E9" s="31">
        <v>18</v>
      </c>
      <c r="F9" s="31">
        <v>427.3</v>
      </c>
      <c r="G9" s="31">
        <v>94</v>
      </c>
      <c r="H9" s="32">
        <f>RAM_35[[#This Row],[Column2]]*RAM_35[[#This Row],[Column12]]</f>
        <v>40166.200000000004</v>
      </c>
      <c r="I9" s="28"/>
      <c r="J9" s="28"/>
    </row>
    <row r="10" spans="1:10" x14ac:dyDescent="0.2">
      <c r="A10" s="29">
        <v>45784</v>
      </c>
      <c r="B10" s="31"/>
      <c r="C10" s="31" t="s">
        <v>27</v>
      </c>
      <c r="D10" s="31">
        <v>188</v>
      </c>
      <c r="E10" s="31">
        <v>17</v>
      </c>
      <c r="F10" s="31">
        <v>477.9</v>
      </c>
      <c r="G10" s="31">
        <v>0</v>
      </c>
      <c r="H10" s="32">
        <f>RAM_35[[#This Row],[Column2]]*RAM_35[[#This Row],[Column12]]</f>
        <v>0</v>
      </c>
      <c r="I10" s="28"/>
      <c r="J10" s="28"/>
    </row>
    <row r="11" spans="1:10" x14ac:dyDescent="0.2">
      <c r="A11" s="29">
        <v>45787</v>
      </c>
      <c r="B11" s="31"/>
      <c r="C11" s="31" t="s">
        <v>27</v>
      </c>
      <c r="D11" s="31">
        <v>211</v>
      </c>
      <c r="E11" s="31">
        <v>30</v>
      </c>
      <c r="F11" s="31">
        <v>845</v>
      </c>
      <c r="G11" s="31">
        <v>92.5</v>
      </c>
      <c r="H11" s="32">
        <f>RAM_35[[#This Row],[Column2]]*RAM_35[[#This Row],[Column12]]</f>
        <v>78162.5</v>
      </c>
      <c r="I11" s="28"/>
      <c r="J11" s="28"/>
    </row>
    <row r="12" spans="1:10" x14ac:dyDescent="0.2">
      <c r="A12" s="29">
        <v>45790</v>
      </c>
      <c r="B12" s="31"/>
      <c r="C12" s="31" t="s">
        <v>30</v>
      </c>
      <c r="D12" s="31">
        <v>219</v>
      </c>
      <c r="E12" s="31">
        <v>27</v>
      </c>
      <c r="F12" s="31">
        <v>644</v>
      </c>
      <c r="G12" s="31">
        <v>94</v>
      </c>
      <c r="H12" s="32">
        <f>RAM_35[[#This Row],[Column2]]*RAM_35[[#This Row],[Column12]]</f>
        <v>60536</v>
      </c>
      <c r="I12" s="28"/>
      <c r="J12" s="28"/>
    </row>
    <row r="13" spans="1:10" x14ac:dyDescent="0.2">
      <c r="A13" s="29">
        <v>45790</v>
      </c>
      <c r="B13" s="31"/>
      <c r="C13" s="31" t="s">
        <v>27</v>
      </c>
      <c r="D13" s="31">
        <v>220</v>
      </c>
      <c r="E13" s="31">
        <v>24</v>
      </c>
      <c r="F13" s="31">
        <v>680.1</v>
      </c>
      <c r="G13" s="31">
        <v>92.5</v>
      </c>
      <c r="H13" s="32">
        <f>RAM_35[[#This Row],[Column2]]*RAM_35[[#This Row],[Column12]]</f>
        <v>62909.25</v>
      </c>
      <c r="I13" s="28"/>
      <c r="J13" s="28"/>
    </row>
    <row r="14" spans="1:10" x14ac:dyDescent="0.2">
      <c r="A14" s="29">
        <v>45793</v>
      </c>
      <c r="B14" s="31"/>
      <c r="C14" s="31" t="s">
        <v>28</v>
      </c>
      <c r="D14" s="31">
        <v>246</v>
      </c>
      <c r="E14" s="31">
        <v>48</v>
      </c>
      <c r="F14" s="31">
        <v>1249.8</v>
      </c>
      <c r="G14" s="31">
        <v>82.5</v>
      </c>
      <c r="H14" s="32">
        <f>RAM_35[[#This Row],[Column2]]*RAM_35[[#This Row],[Column12]]</f>
        <v>103108.5</v>
      </c>
      <c r="I14" s="33"/>
      <c r="J14" s="28"/>
    </row>
    <row r="15" spans="1:10" x14ac:dyDescent="0.2">
      <c r="A15" s="29">
        <v>45794</v>
      </c>
      <c r="B15" s="31"/>
      <c r="C15" s="31" t="s">
        <v>30</v>
      </c>
      <c r="D15" s="31">
        <v>252</v>
      </c>
      <c r="E15" s="31">
        <v>40</v>
      </c>
      <c r="F15" s="31">
        <v>958.8</v>
      </c>
      <c r="G15" s="31">
        <v>94</v>
      </c>
      <c r="H15" s="32">
        <f>RAM_35[[#This Row],[Column2]]*RAM_35[[#This Row],[Column12]]</f>
        <v>90127.2</v>
      </c>
      <c r="I15" s="33"/>
      <c r="J15" s="28"/>
    </row>
    <row r="16" spans="1:10" x14ac:dyDescent="0.2">
      <c r="A16" s="29">
        <v>45796</v>
      </c>
      <c r="B16" s="31"/>
      <c r="C16" s="31" t="s">
        <v>28</v>
      </c>
      <c r="D16" s="31">
        <v>261</v>
      </c>
      <c r="E16" s="31">
        <v>24</v>
      </c>
      <c r="F16" s="31">
        <v>629.4</v>
      </c>
      <c r="G16" s="31">
        <v>82.5</v>
      </c>
      <c r="H16" s="32">
        <f>RAM_35[[#This Row],[Column2]]*RAM_35[[#This Row],[Column12]]</f>
        <v>51925.5</v>
      </c>
      <c r="I16" s="33"/>
      <c r="J16" s="28"/>
    </row>
    <row r="17" spans="1:10" x14ac:dyDescent="0.2">
      <c r="A17" s="29">
        <v>45808</v>
      </c>
      <c r="B17" s="31"/>
      <c r="C17" s="31" t="s">
        <v>30</v>
      </c>
      <c r="D17" s="31">
        <v>325</v>
      </c>
      <c r="E17" s="31">
        <v>12</v>
      </c>
      <c r="F17" s="31">
        <v>262.7</v>
      </c>
      <c r="G17" s="31">
        <v>94</v>
      </c>
      <c r="H17" s="32">
        <f>RAM_35[[#This Row],[Column2]]*RAM_35[[#This Row],[Column12]]</f>
        <v>24693.8</v>
      </c>
      <c r="I17" s="33"/>
      <c r="J17" s="28"/>
    </row>
    <row r="18" spans="1:10" x14ac:dyDescent="0.2">
      <c r="A18" s="29">
        <v>45813</v>
      </c>
      <c r="B18" s="31"/>
      <c r="C18" s="31" t="s">
        <v>27</v>
      </c>
      <c r="D18" s="31">
        <v>345</v>
      </c>
      <c r="E18" s="31">
        <v>14</v>
      </c>
      <c r="F18" s="31">
        <v>389.8</v>
      </c>
      <c r="G18" s="31">
        <v>93</v>
      </c>
      <c r="H18" s="32">
        <f>RAM_35[[#This Row],[Column2]]*RAM_35[[#This Row],[Column12]]</f>
        <v>36251.4</v>
      </c>
      <c r="I18" s="33"/>
      <c r="J18" s="28"/>
    </row>
    <row r="19" spans="1:10" x14ac:dyDescent="0.2">
      <c r="A19" s="29">
        <v>45814</v>
      </c>
      <c r="B19" s="31"/>
      <c r="C19" s="31" t="s">
        <v>27</v>
      </c>
      <c r="D19" s="31">
        <v>354</v>
      </c>
      <c r="E19" s="31">
        <v>18</v>
      </c>
      <c r="F19" s="31">
        <v>496.2</v>
      </c>
      <c r="G19" s="31">
        <v>93</v>
      </c>
      <c r="H19" s="32">
        <f>RAM_35[[#This Row],[Column2]]*RAM_35[[#This Row],[Column12]]</f>
        <v>46146.6</v>
      </c>
      <c r="I19" s="33"/>
      <c r="J19" s="28"/>
    </row>
    <row r="20" spans="1:10" x14ac:dyDescent="0.2">
      <c r="A20" s="29">
        <v>45818</v>
      </c>
      <c r="B20" s="31"/>
      <c r="C20" s="31" t="s">
        <v>27</v>
      </c>
      <c r="D20" s="31">
        <v>365</v>
      </c>
      <c r="E20" s="31">
        <v>24</v>
      </c>
      <c r="F20" s="31">
        <v>668</v>
      </c>
      <c r="G20" s="31">
        <v>93</v>
      </c>
      <c r="H20" s="32">
        <f>RAM_35[[#This Row],[Column2]]*RAM_35[[#This Row],[Column12]]</f>
        <v>62124</v>
      </c>
      <c r="I20" s="33"/>
      <c r="J20" s="28"/>
    </row>
    <row r="21" spans="1:10" x14ac:dyDescent="0.2">
      <c r="A21" s="29">
        <v>45818</v>
      </c>
      <c r="B21" s="31"/>
      <c r="C21" s="31" t="s">
        <v>27</v>
      </c>
      <c r="D21" s="31">
        <v>374</v>
      </c>
      <c r="E21" s="31">
        <v>12</v>
      </c>
      <c r="F21" s="31">
        <v>334</v>
      </c>
      <c r="G21" s="31">
        <v>92.5</v>
      </c>
      <c r="H21" s="32">
        <f>RAM_35[[#This Row],[Column2]]*RAM_35[[#This Row],[Column12]]</f>
        <v>30895</v>
      </c>
      <c r="I21" s="33"/>
      <c r="J21" s="28"/>
    </row>
    <row r="22" spans="1:10" x14ac:dyDescent="0.2">
      <c r="A22" s="29">
        <v>45818</v>
      </c>
      <c r="B22" s="31"/>
      <c r="C22" s="31" t="s">
        <v>30</v>
      </c>
      <c r="D22" s="31">
        <v>375</v>
      </c>
      <c r="E22" s="31">
        <v>9</v>
      </c>
      <c r="F22" s="31">
        <v>196.6</v>
      </c>
      <c r="G22" s="31">
        <v>94</v>
      </c>
      <c r="H22" s="32">
        <f>RAM_35[[#This Row],[Column2]]*RAM_35[[#This Row],[Column12]]</f>
        <v>18480.399999999998</v>
      </c>
      <c r="I22" s="33"/>
      <c r="J22" s="28"/>
    </row>
    <row r="23" spans="1:10" x14ac:dyDescent="0.2">
      <c r="A23" s="29">
        <v>45820</v>
      </c>
      <c r="B23" s="31"/>
      <c r="C23" s="31" t="s">
        <v>30</v>
      </c>
      <c r="D23" s="31">
        <v>385</v>
      </c>
      <c r="E23" s="31">
        <v>15</v>
      </c>
      <c r="F23" s="31">
        <v>328.8</v>
      </c>
      <c r="G23" s="31">
        <v>94</v>
      </c>
      <c r="H23" s="32">
        <f>RAM_35[[#This Row],[Column2]]*RAM_35[[#This Row],[Column12]]</f>
        <v>30907.200000000001</v>
      </c>
      <c r="I23" s="33"/>
      <c r="J23" s="28"/>
    </row>
    <row r="24" spans="1:10" x14ac:dyDescent="0.2">
      <c r="A24" s="29">
        <v>45822</v>
      </c>
      <c r="B24" s="31"/>
      <c r="C24" s="31" t="s">
        <v>27</v>
      </c>
      <c r="D24" s="31">
        <v>393</v>
      </c>
      <c r="E24" s="31">
        <v>27</v>
      </c>
      <c r="F24" s="31">
        <v>674.7</v>
      </c>
      <c r="G24" s="31">
        <v>92.5</v>
      </c>
      <c r="H24" s="32">
        <f>RAM_35[[#This Row],[Column2]]*RAM_35[[#This Row],[Column12]]</f>
        <v>62409.750000000007</v>
      </c>
      <c r="I24" s="33"/>
      <c r="J24" s="28"/>
    </row>
    <row r="25" spans="1:10" x14ac:dyDescent="0.2">
      <c r="A25" s="29">
        <v>45827</v>
      </c>
      <c r="B25" s="31"/>
      <c r="C25" s="31" t="s">
        <v>27</v>
      </c>
      <c r="D25" s="31">
        <v>410</v>
      </c>
      <c r="E25" s="31">
        <v>36</v>
      </c>
      <c r="F25" s="31">
        <v>895.9</v>
      </c>
      <c r="G25" s="31">
        <v>92.5</v>
      </c>
      <c r="H25" s="32">
        <f>RAM_35[[#This Row],[Column2]]*RAM_35[[#This Row],[Column12]]</f>
        <v>82870.75</v>
      </c>
      <c r="I25" s="33"/>
      <c r="J25" s="28"/>
    </row>
    <row r="26" spans="1:10" x14ac:dyDescent="0.2">
      <c r="A26" s="29">
        <v>45827</v>
      </c>
      <c r="B26" s="31"/>
      <c r="C26" s="31" t="s">
        <v>30</v>
      </c>
      <c r="D26" s="31">
        <v>415</v>
      </c>
      <c r="E26" s="31">
        <v>36</v>
      </c>
      <c r="F26" s="31">
        <v>799.3</v>
      </c>
      <c r="G26" s="31">
        <v>94</v>
      </c>
      <c r="H26" s="32">
        <f>RAM_35[[#This Row],[Column2]]*RAM_35[[#This Row],[Column12]]</f>
        <v>75134.2</v>
      </c>
      <c r="I26" s="33"/>
      <c r="J26" s="28"/>
    </row>
    <row r="27" spans="1:10" x14ac:dyDescent="0.2">
      <c r="A27" s="29">
        <v>45827</v>
      </c>
      <c r="B27" s="31"/>
      <c r="C27" s="31" t="s">
        <v>30</v>
      </c>
      <c r="D27" s="31">
        <v>416</v>
      </c>
      <c r="E27" s="31">
        <v>18</v>
      </c>
      <c r="F27" s="31">
        <v>394.7</v>
      </c>
      <c r="G27" s="31">
        <v>94</v>
      </c>
      <c r="H27" s="32">
        <f>RAM_35[[#This Row],[Column2]]*RAM_35[[#This Row],[Column12]]</f>
        <v>37101.799999999996</v>
      </c>
      <c r="I27" s="33"/>
      <c r="J27" s="28"/>
    </row>
    <row r="28" spans="1:10" x14ac:dyDescent="0.2">
      <c r="A28" s="29">
        <v>45831</v>
      </c>
      <c r="B28" s="31"/>
      <c r="C28" s="31" t="s">
        <v>27</v>
      </c>
      <c r="D28" s="31">
        <v>439</v>
      </c>
      <c r="E28" s="31">
        <v>30</v>
      </c>
      <c r="F28" s="31">
        <v>687.6</v>
      </c>
      <c r="G28" s="31">
        <v>92.5</v>
      </c>
      <c r="H28" s="32">
        <f>RAM_35[[#This Row],[Column2]]*RAM_35[[#This Row],[Column12]]</f>
        <v>63603</v>
      </c>
      <c r="I28" s="33"/>
      <c r="J28" s="28"/>
    </row>
    <row r="29" spans="1:10" x14ac:dyDescent="0.2">
      <c r="A29" s="29">
        <v>45834</v>
      </c>
      <c r="B29" s="31"/>
      <c r="C29" s="31" t="s">
        <v>30</v>
      </c>
      <c r="D29" s="31">
        <v>453</v>
      </c>
      <c r="E29" s="31"/>
      <c r="F29" s="31">
        <v>157</v>
      </c>
      <c r="G29" s="31">
        <v>94</v>
      </c>
      <c r="H29" s="32">
        <f>RAM_35[[#This Row],[Column2]]*RAM_35[[#This Row],[Column12]]</f>
        <v>14758</v>
      </c>
      <c r="I29" s="33"/>
      <c r="J29" s="28"/>
    </row>
    <row r="30" spans="1:10" x14ac:dyDescent="0.2">
      <c r="A30" s="29">
        <v>45835</v>
      </c>
      <c r="B30" s="31"/>
      <c r="C30" s="31" t="s">
        <v>10</v>
      </c>
      <c r="D30" s="31">
        <v>459</v>
      </c>
      <c r="E30" s="31"/>
      <c r="F30" s="31">
        <v>774.1</v>
      </c>
      <c r="G30" s="31">
        <v>92.5</v>
      </c>
      <c r="H30" s="32">
        <f>RAM_35[[#This Row],[Column2]]*RAM_35[[#This Row],[Column12]]</f>
        <v>71604.25</v>
      </c>
      <c r="I30" s="33"/>
      <c r="J30" s="28"/>
    </row>
    <row r="31" spans="1:10" x14ac:dyDescent="0.2">
      <c r="A31" s="26">
        <v>45840</v>
      </c>
      <c r="C31" s="21" t="s">
        <v>38</v>
      </c>
      <c r="D31" s="21">
        <v>510</v>
      </c>
      <c r="E31" s="21">
        <v>48</v>
      </c>
      <c r="F31" s="21">
        <v>1095.4000000000001</v>
      </c>
      <c r="G31" s="21">
        <v>96.5</v>
      </c>
      <c r="H31" s="32">
        <f>RAM_35[[#This Row],[Column2]]*RAM_35[[#This Row],[Column12]]</f>
        <v>105706.1</v>
      </c>
      <c r="I31" s="33"/>
      <c r="J31" s="28"/>
    </row>
    <row r="32" spans="1:10" x14ac:dyDescent="0.2">
      <c r="A32" s="29"/>
      <c r="B32" s="31"/>
      <c r="C32" s="31"/>
      <c r="D32" s="31"/>
      <c r="E32" s="31"/>
      <c r="F32" s="31"/>
      <c r="G32" s="31"/>
      <c r="H32" s="32"/>
      <c r="I32" s="33"/>
    </row>
    <row r="33" spans="1:9" x14ac:dyDescent="0.2">
      <c r="A33" s="29"/>
      <c r="B33" s="31"/>
      <c r="C33" s="31"/>
      <c r="D33" s="31"/>
      <c r="E33" s="31"/>
      <c r="F33" s="31"/>
      <c r="G33" s="31"/>
      <c r="H33" s="32"/>
      <c r="I33" s="33"/>
    </row>
    <row r="34" spans="1:9" x14ac:dyDescent="0.2">
      <c r="A34" s="26">
        <v>45768</v>
      </c>
      <c r="C34" s="21" t="s">
        <v>24</v>
      </c>
      <c r="I34" s="28">
        <v>80000</v>
      </c>
    </row>
    <row r="35" spans="1:9" x14ac:dyDescent="0.2">
      <c r="A35" s="26">
        <v>45768</v>
      </c>
      <c r="C35" s="21" t="s">
        <v>24</v>
      </c>
      <c r="I35" s="28">
        <v>20000</v>
      </c>
    </row>
    <row r="36" spans="1:9" x14ac:dyDescent="0.2">
      <c r="A36" s="26">
        <v>45770</v>
      </c>
      <c r="C36" s="21" t="s">
        <v>24</v>
      </c>
      <c r="I36" s="28">
        <v>50000</v>
      </c>
    </row>
    <row r="37" spans="1:9" x14ac:dyDescent="0.2">
      <c r="A37" s="26">
        <v>45770</v>
      </c>
      <c r="C37" s="21" t="s">
        <v>24</v>
      </c>
      <c r="I37" s="28">
        <v>40000</v>
      </c>
    </row>
    <row r="38" spans="1:9" x14ac:dyDescent="0.2">
      <c r="A38" s="26">
        <v>45771</v>
      </c>
      <c r="C38" s="21" t="s">
        <v>24</v>
      </c>
      <c r="I38" s="28">
        <v>50000</v>
      </c>
    </row>
    <row r="39" spans="1:9" x14ac:dyDescent="0.2">
      <c r="A39" s="26">
        <v>45774</v>
      </c>
      <c r="C39" s="21" t="s">
        <v>22</v>
      </c>
      <c r="I39" s="28">
        <v>60000</v>
      </c>
    </row>
    <row r="40" spans="1:9" x14ac:dyDescent="0.2">
      <c r="A40" s="26">
        <v>45790</v>
      </c>
      <c r="C40" s="21" t="s">
        <v>29</v>
      </c>
      <c r="I40" s="28">
        <v>100000</v>
      </c>
    </row>
    <row r="41" spans="1:9" x14ac:dyDescent="0.2">
      <c r="A41" s="26">
        <v>45791</v>
      </c>
      <c r="C41" s="21" t="s">
        <v>24</v>
      </c>
      <c r="I41" s="28">
        <v>21750</v>
      </c>
    </row>
    <row r="42" spans="1:9" x14ac:dyDescent="0.2">
      <c r="A42" s="26">
        <v>45792</v>
      </c>
      <c r="C42" s="21" t="s">
        <v>24</v>
      </c>
      <c r="I42" s="28">
        <v>90000</v>
      </c>
    </row>
    <row r="43" spans="1:9" x14ac:dyDescent="0.2">
      <c r="A43" s="26">
        <v>45798</v>
      </c>
      <c r="C43" s="21" t="s">
        <v>24</v>
      </c>
      <c r="I43" s="28">
        <v>30000</v>
      </c>
    </row>
    <row r="44" spans="1:9" x14ac:dyDescent="0.2">
      <c r="A44" s="26">
        <v>45798</v>
      </c>
      <c r="C44" s="21" t="s">
        <v>24</v>
      </c>
      <c r="I44" s="28">
        <v>55000</v>
      </c>
    </row>
    <row r="45" spans="1:9" x14ac:dyDescent="0.2">
      <c r="A45" s="26">
        <v>45808</v>
      </c>
      <c r="C45" s="21" t="s">
        <v>24</v>
      </c>
      <c r="I45" s="28">
        <v>80000</v>
      </c>
    </row>
    <row r="46" spans="1:9" x14ac:dyDescent="0.2">
      <c r="A46" s="26">
        <v>45809</v>
      </c>
      <c r="C46" s="35" t="s">
        <v>24</v>
      </c>
      <c r="I46" s="28">
        <v>50000</v>
      </c>
    </row>
    <row r="47" spans="1:9" x14ac:dyDescent="0.2">
      <c r="A47" s="26">
        <v>45820</v>
      </c>
      <c r="C47" s="21" t="s">
        <v>33</v>
      </c>
      <c r="I47" s="28">
        <v>20000</v>
      </c>
    </row>
    <row r="48" spans="1:9" x14ac:dyDescent="0.2">
      <c r="A48" s="26">
        <v>45826</v>
      </c>
      <c r="C48" s="21" t="s">
        <v>33</v>
      </c>
      <c r="I48" s="28">
        <v>60000</v>
      </c>
    </row>
    <row r="49" spans="1:9" x14ac:dyDescent="0.2">
      <c r="A49" s="26">
        <v>45827</v>
      </c>
      <c r="C49" s="21" t="s">
        <v>33</v>
      </c>
      <c r="I49" s="28">
        <v>52000</v>
      </c>
    </row>
    <row r="50" spans="1:9" x14ac:dyDescent="0.2">
      <c r="A50" s="26">
        <v>45831</v>
      </c>
      <c r="C50" s="21" t="s">
        <v>32</v>
      </c>
      <c r="I50" s="28">
        <v>43400</v>
      </c>
    </row>
    <row r="51" spans="1:9" x14ac:dyDescent="0.2">
      <c r="A51" s="26">
        <v>45832</v>
      </c>
      <c r="C51" s="21" t="s">
        <v>31</v>
      </c>
      <c r="I51" s="28">
        <v>50001</v>
      </c>
    </row>
    <row r="52" spans="1:9" x14ac:dyDescent="0.2">
      <c r="A52" s="26">
        <v>45833</v>
      </c>
      <c r="C52" s="21" t="s">
        <v>34</v>
      </c>
      <c r="I52" s="43">
        <v>50000</v>
      </c>
    </row>
    <row r="53" spans="1:9" x14ac:dyDescent="0.2">
      <c r="A53" s="26">
        <v>45833</v>
      </c>
      <c r="C53" s="21" t="s">
        <v>34</v>
      </c>
      <c r="I53" s="28">
        <v>15000</v>
      </c>
    </row>
    <row r="54" spans="1:9" x14ac:dyDescent="0.2">
      <c r="A54" s="26">
        <v>45833</v>
      </c>
      <c r="C54" s="21" t="s">
        <v>34</v>
      </c>
      <c r="I54" s="28">
        <v>12000</v>
      </c>
    </row>
    <row r="55" spans="1:9" x14ac:dyDescent="0.2">
      <c r="A55" s="26">
        <v>45834</v>
      </c>
      <c r="C55" s="21" t="s">
        <v>34</v>
      </c>
      <c r="I55" s="28">
        <v>23000</v>
      </c>
    </row>
    <row r="56" spans="1:9" x14ac:dyDescent="0.2">
      <c r="A56" s="26">
        <v>45838</v>
      </c>
      <c r="C56" s="21" t="s">
        <v>33</v>
      </c>
      <c r="I56" s="43">
        <v>50000</v>
      </c>
    </row>
    <row r="57" spans="1:9" x14ac:dyDescent="0.2">
      <c r="I57" s="28"/>
    </row>
    <row r="58" spans="1:9" ht="13.5" thickBot="1" x14ac:dyDescent="0.25">
      <c r="A58" s="21" t="s">
        <v>11</v>
      </c>
      <c r="E58" s="21">
        <f>SUBTOTAL(109,RAM_35[Column1])</f>
        <v>536</v>
      </c>
      <c r="H58" s="34">
        <f>SUBTOTAL(109,RAM_35[DEBIT])</f>
        <v>1580203.8000000003</v>
      </c>
      <c r="I58" s="28">
        <f>SUBTOTAL(109,RAM_35[CREDIT])</f>
        <v>1102151</v>
      </c>
    </row>
    <row r="59" spans="1:9" ht="15.75" thickTop="1" x14ac:dyDescent="0.25">
      <c r="H59" s="34" t="s">
        <v>36</v>
      </c>
      <c r="I59" s="38">
        <f>RAM_35[[#Totals],[DEBIT]]-RAM_35[[#Totals],[CREDIT]]+0.7</f>
        <v>478053.50000000029</v>
      </c>
    </row>
    <row r="62" spans="1:9" x14ac:dyDescent="0.2">
      <c r="E62" s="28"/>
      <c r="F62" s="28"/>
    </row>
    <row r="63" spans="1:9" x14ac:dyDescent="0.2">
      <c r="E63" s="28"/>
      <c r="F63" s="28"/>
    </row>
    <row r="64" spans="1:9" x14ac:dyDescent="0.2">
      <c r="A64" s="21"/>
      <c r="E64" s="28"/>
      <c r="F64" s="28"/>
      <c r="H64" s="21"/>
    </row>
    <row r="65" spans="1:8" x14ac:dyDescent="0.2">
      <c r="A65" s="21"/>
      <c r="E65" s="28"/>
      <c r="F65" s="28"/>
      <c r="H65" s="21"/>
    </row>
    <row r="66" spans="1:8" x14ac:dyDescent="0.2">
      <c r="A66" s="21"/>
      <c r="E66" s="28"/>
      <c r="F66" s="28"/>
      <c r="H66" s="21"/>
    </row>
    <row r="67" spans="1:8" x14ac:dyDescent="0.2">
      <c r="A67" s="21"/>
      <c r="E67" s="28"/>
      <c r="F67" s="28"/>
      <c r="H67" s="21"/>
    </row>
    <row r="68" spans="1:8" x14ac:dyDescent="0.2">
      <c r="A68" s="21"/>
      <c r="E68" s="28"/>
      <c r="F68" s="28"/>
      <c r="H68" s="21"/>
    </row>
    <row r="69" spans="1:8" x14ac:dyDescent="0.2">
      <c r="A69" s="21"/>
      <c r="E69" s="28"/>
      <c r="F69" s="28"/>
      <c r="H69" s="21"/>
    </row>
    <row r="70" spans="1:8" x14ac:dyDescent="0.2">
      <c r="A70" s="21"/>
      <c r="E70" s="28"/>
      <c r="F70" s="28"/>
      <c r="H70" s="21"/>
    </row>
    <row r="71" spans="1:8" x14ac:dyDescent="0.2">
      <c r="A71" s="21"/>
      <c r="E71" s="28"/>
      <c r="F71" s="28"/>
      <c r="H71" s="21"/>
    </row>
    <row r="72" spans="1:8" x14ac:dyDescent="0.2">
      <c r="A72" s="21"/>
      <c r="E72" s="28"/>
      <c r="F72" s="28"/>
      <c r="H72" s="21"/>
    </row>
    <row r="73" spans="1:8" x14ac:dyDescent="0.2">
      <c r="A73" s="21"/>
      <c r="E73" s="28"/>
      <c r="F73" s="28"/>
      <c r="H73" s="21"/>
    </row>
    <row r="74" spans="1:8" x14ac:dyDescent="0.2">
      <c r="A74" s="21"/>
      <c r="E74" s="28"/>
      <c r="F74" s="28"/>
      <c r="H74" s="21"/>
    </row>
    <row r="75" spans="1:8" x14ac:dyDescent="0.2">
      <c r="A75" s="21"/>
      <c r="E75" s="28"/>
      <c r="F75" s="28"/>
      <c r="H75" s="21"/>
    </row>
    <row r="76" spans="1:8" x14ac:dyDescent="0.2">
      <c r="A76" s="21"/>
      <c r="E76" s="28"/>
      <c r="F76" s="28"/>
      <c r="H76" s="21"/>
    </row>
  </sheetData>
  <mergeCells count="1">
    <mergeCell ref="A1:I1"/>
  </mergeCells>
  <hyperlinks>
    <hyperlink ref="H4" location="'NHL202425'!A1" display="'NHL202425'!A1"/>
    <hyperlink ref="I59" location="Sheet3!H4" display="Sheet3!H4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69"/>
  <sheetViews>
    <sheetView zoomScale="130" zoomScaleNormal="130" workbookViewId="0">
      <selection activeCell="G19" sqref="G19"/>
    </sheetView>
  </sheetViews>
  <sheetFormatPr defaultRowHeight="12.75" x14ac:dyDescent="0.2"/>
  <cols>
    <col min="1" max="1" width="11" style="26" customWidth="1"/>
    <col min="2" max="2" width="13.28515625" style="21" hidden="1" customWidth="1"/>
    <col min="3" max="3" width="17.28515625" style="21" customWidth="1"/>
    <col min="4" max="4" width="5.42578125" style="21" customWidth="1"/>
    <col min="5" max="7" width="8.28515625" style="21" customWidth="1"/>
    <col min="8" max="8" width="13.85546875" style="34" customWidth="1"/>
    <col min="9" max="9" width="11.85546875" style="21" bestFit="1" customWidth="1"/>
    <col min="10" max="16384" width="9.140625" style="21"/>
  </cols>
  <sheetData>
    <row r="1" spans="1:9" x14ac:dyDescent="0.2">
      <c r="A1" s="47" t="s">
        <v>6</v>
      </c>
      <c r="B1" s="48"/>
      <c r="C1" s="48"/>
      <c r="D1" s="48"/>
      <c r="E1" s="48"/>
      <c r="F1" s="48"/>
      <c r="G1" s="48"/>
      <c r="H1" s="48"/>
      <c r="I1" s="48"/>
    </row>
    <row r="2" spans="1:9" ht="13.5" thickBot="1" x14ac:dyDescent="0.25">
      <c r="A2" s="22" t="s">
        <v>0</v>
      </c>
      <c r="B2" s="23" t="s">
        <v>1</v>
      </c>
      <c r="C2" s="23" t="s">
        <v>2</v>
      </c>
      <c r="D2" s="23" t="s">
        <v>3</v>
      </c>
      <c r="E2" s="23" t="s">
        <v>13</v>
      </c>
      <c r="F2" s="23" t="s">
        <v>15</v>
      </c>
      <c r="G2" s="23" t="s">
        <v>14</v>
      </c>
      <c r="H2" s="24" t="s">
        <v>4</v>
      </c>
      <c r="I2" s="25" t="s">
        <v>5</v>
      </c>
    </row>
    <row r="3" spans="1:9" ht="14.25" thickTop="1" thickBot="1" x14ac:dyDescent="0.25">
      <c r="H3" s="27"/>
      <c r="I3" s="28"/>
    </row>
    <row r="4" spans="1:9" ht="15.75" thickTop="1" x14ac:dyDescent="0.25">
      <c r="A4" s="26">
        <v>45839</v>
      </c>
      <c r="C4" s="21" t="s">
        <v>37</v>
      </c>
      <c r="H4" s="38">
        <f>RAM_35[[#Totals],[DEBIT]]-RAM_35[[#Totals],[CREDIT]]+0.7</f>
        <v>478053.50000000029</v>
      </c>
      <c r="I4" s="28"/>
    </row>
    <row r="5" spans="1:9" ht="15" x14ac:dyDescent="0.25">
      <c r="A5" s="26">
        <v>45840</v>
      </c>
      <c r="C5" s="21" t="s">
        <v>38</v>
      </c>
      <c r="D5" s="21">
        <v>510</v>
      </c>
      <c r="E5" s="21">
        <v>48</v>
      </c>
      <c r="F5" s="21">
        <v>1095.4000000000001</v>
      </c>
      <c r="G5" s="21">
        <v>96.5</v>
      </c>
      <c r="H5" s="37">
        <f>RAM_352[[#This Row],[Column12]]*RAM_352[[#This Row],[Column2]]</f>
        <v>105706.1</v>
      </c>
      <c r="I5" s="28"/>
    </row>
    <row r="6" spans="1:9" ht="15" x14ac:dyDescent="0.25">
      <c r="C6" s="21" t="s">
        <v>41</v>
      </c>
      <c r="D6" s="21">
        <v>547</v>
      </c>
      <c r="E6" s="21">
        <v>15</v>
      </c>
      <c r="F6" s="21">
        <v>340.3</v>
      </c>
      <c r="G6" s="21">
        <v>96</v>
      </c>
      <c r="H6" s="37">
        <f>RAM_352[[#This Row],[Column12]]*RAM_352[[#This Row],[Column2]]</f>
        <v>32668.800000000003</v>
      </c>
      <c r="I6" s="28"/>
    </row>
    <row r="7" spans="1:9" ht="15" x14ac:dyDescent="0.25">
      <c r="C7" s="21" t="s">
        <v>42</v>
      </c>
      <c r="D7" s="21">
        <v>548</v>
      </c>
      <c r="E7" s="21">
        <v>27</v>
      </c>
      <c r="F7" s="21">
        <v>623.79999999999995</v>
      </c>
      <c r="G7" s="21">
        <v>92</v>
      </c>
      <c r="H7" s="37">
        <f>RAM_352[[#This Row],[Column12]]*RAM_352[[#This Row],[Column2]]</f>
        <v>57389.599999999999</v>
      </c>
      <c r="I7" s="28"/>
    </row>
    <row r="8" spans="1:9" ht="15" x14ac:dyDescent="0.25">
      <c r="C8" s="21" t="s">
        <v>42</v>
      </c>
      <c r="D8" s="21">
        <v>553</v>
      </c>
      <c r="E8" s="21">
        <v>12</v>
      </c>
      <c r="F8" s="21">
        <v>269.39999999999998</v>
      </c>
      <c r="G8" s="21">
        <v>92</v>
      </c>
      <c r="H8" s="37">
        <f>RAM_352[[#This Row],[Column12]]*RAM_352[[#This Row],[Column2]]</f>
        <v>24784.799999999999</v>
      </c>
      <c r="I8" s="28"/>
    </row>
    <row r="9" spans="1:9" ht="15" x14ac:dyDescent="0.25">
      <c r="C9" s="21" t="s">
        <v>41</v>
      </c>
      <c r="D9" s="21">
        <v>556</v>
      </c>
      <c r="E9" s="21">
        <v>24</v>
      </c>
      <c r="F9" s="21">
        <v>542.5</v>
      </c>
      <c r="G9" s="21">
        <v>96</v>
      </c>
      <c r="H9" s="37">
        <f>RAM_352[[#This Row],[Column12]]*RAM_352[[#This Row],[Column2]]</f>
        <v>52080</v>
      </c>
      <c r="I9" s="28"/>
    </row>
    <row r="10" spans="1:9" ht="15" x14ac:dyDescent="0.25">
      <c r="C10" s="21" t="s">
        <v>41</v>
      </c>
      <c r="D10" s="21">
        <v>565</v>
      </c>
      <c r="E10" s="21">
        <v>33</v>
      </c>
      <c r="F10" s="21">
        <v>757.6</v>
      </c>
      <c r="G10" s="21">
        <v>96</v>
      </c>
      <c r="H10" s="37">
        <f>RAM_352[[#This Row],[Column12]]*RAM_352[[#This Row],[Column2]]</f>
        <v>72729.600000000006</v>
      </c>
      <c r="I10" s="28"/>
    </row>
    <row r="11" spans="1:9" ht="15" x14ac:dyDescent="0.25">
      <c r="C11" s="21" t="s">
        <v>40</v>
      </c>
      <c r="D11" s="21">
        <v>579</v>
      </c>
      <c r="E11" s="21">
        <v>24</v>
      </c>
      <c r="F11" s="21">
        <v>588</v>
      </c>
      <c r="G11" s="21">
        <v>97</v>
      </c>
      <c r="H11" s="37">
        <f>RAM_352[[#This Row],[Column12]]*RAM_352[[#This Row],[Column2]]</f>
        <v>57036</v>
      </c>
      <c r="I11" s="28"/>
    </row>
    <row r="12" spans="1:9" ht="15" x14ac:dyDescent="0.25">
      <c r="C12" s="21" t="s">
        <v>40</v>
      </c>
      <c r="D12" s="21">
        <v>594</v>
      </c>
      <c r="E12" s="21">
        <v>24</v>
      </c>
      <c r="F12" s="21">
        <v>585.6</v>
      </c>
      <c r="G12" s="21">
        <f>RAM_352[[#This Row],[DEBIT]]/RAM_352[[#This Row],[Column12]]</f>
        <v>96.999999999999986</v>
      </c>
      <c r="H12" s="37">
        <v>56803.199999999997</v>
      </c>
      <c r="I12" s="28"/>
    </row>
    <row r="13" spans="1:9" ht="15" x14ac:dyDescent="0.25">
      <c r="C13" s="21" t="s">
        <v>40</v>
      </c>
      <c r="D13" s="21">
        <v>596</v>
      </c>
      <c r="E13" s="21">
        <v>30</v>
      </c>
      <c r="F13" s="21">
        <v>709.2</v>
      </c>
      <c r="G13" s="21">
        <f>RAM_352[[#This Row],[DEBIT]]/RAM_352[[#This Row],[Column12]]</f>
        <v>94</v>
      </c>
      <c r="H13" s="37">
        <v>66664.800000000003</v>
      </c>
      <c r="I13" s="28"/>
    </row>
    <row r="14" spans="1:9" ht="15" x14ac:dyDescent="0.25">
      <c r="C14" s="21" t="s">
        <v>42</v>
      </c>
      <c r="D14" s="21">
        <v>599</v>
      </c>
      <c r="E14" s="21">
        <v>17</v>
      </c>
      <c r="F14" s="21">
        <v>414.6</v>
      </c>
      <c r="G14" s="21">
        <f>RAM_352[[#This Row],[DEBIT]]/RAM_352[[#This Row],[Column12]]</f>
        <v>96.999999999999986</v>
      </c>
      <c r="H14" s="37">
        <v>40216.199999999997</v>
      </c>
      <c r="I14" s="28"/>
    </row>
    <row r="15" spans="1:9" ht="15" x14ac:dyDescent="0.25">
      <c r="C15" s="21" t="s">
        <v>27</v>
      </c>
      <c r="D15" s="39" t="s">
        <v>45</v>
      </c>
      <c r="E15" s="21">
        <v>10</v>
      </c>
      <c r="F15" s="21">
        <v>244.4</v>
      </c>
      <c r="G15" s="21">
        <f>RAM_352[[#This Row],[DEBIT]]/RAM_352[[#This Row],[Column12]]</f>
        <v>93.999999999999986</v>
      </c>
      <c r="H15" s="37">
        <v>22973.599999999999</v>
      </c>
      <c r="I15" s="28"/>
    </row>
    <row r="16" spans="1:9" ht="15" x14ac:dyDescent="0.25">
      <c r="C16" s="21" t="s">
        <v>27</v>
      </c>
      <c r="D16" s="21">
        <v>607</v>
      </c>
      <c r="E16" s="21">
        <v>32</v>
      </c>
      <c r="F16" s="21">
        <v>729.4</v>
      </c>
      <c r="G16" s="21">
        <f>RAM_352[[#This Row],[DEBIT]]/RAM_352[[#This Row],[Column12]]</f>
        <v>94.000000000000014</v>
      </c>
      <c r="H16" s="37">
        <v>68563.600000000006</v>
      </c>
      <c r="I16" s="28"/>
    </row>
    <row r="17" spans="1:9" ht="15" x14ac:dyDescent="0.25">
      <c r="C17" s="21" t="s">
        <v>8</v>
      </c>
      <c r="D17" s="21">
        <v>869</v>
      </c>
      <c r="E17" s="21">
        <v>6</v>
      </c>
      <c r="F17" s="21">
        <v>146.9</v>
      </c>
      <c r="G17" s="21">
        <v>88</v>
      </c>
      <c r="H17" s="37">
        <f>RAM_352[[#This Row],[Column12]]*RAM_352[[#This Row],[Column2]]</f>
        <v>12927.2</v>
      </c>
      <c r="I17" s="28"/>
    </row>
    <row r="18" spans="1:9" ht="15" x14ac:dyDescent="0.25">
      <c r="C18" s="21" t="s">
        <v>49</v>
      </c>
      <c r="E18" s="21">
        <v>9</v>
      </c>
      <c r="F18" s="21">
        <v>220.1</v>
      </c>
      <c r="G18" s="21">
        <v>88</v>
      </c>
      <c r="H18" s="37">
        <f>RAM_352[[#This Row],[Column12]]*RAM_352[[#This Row],[Column2]]</f>
        <v>19368.8</v>
      </c>
      <c r="I18" s="28"/>
    </row>
    <row r="19" spans="1:9" ht="15" x14ac:dyDescent="0.25">
      <c r="A19" s="26">
        <v>45840</v>
      </c>
      <c r="C19" s="21" t="s">
        <v>33</v>
      </c>
      <c r="H19" s="20"/>
      <c r="I19" s="43">
        <v>30000</v>
      </c>
    </row>
    <row r="20" spans="1:9" ht="15" x14ac:dyDescent="0.25">
      <c r="A20" s="26">
        <v>45840</v>
      </c>
      <c r="C20" s="21" t="s">
        <v>33</v>
      </c>
      <c r="H20" s="20"/>
      <c r="I20" s="43">
        <v>30000</v>
      </c>
    </row>
    <row r="21" spans="1:9" ht="15" x14ac:dyDescent="0.25">
      <c r="A21" s="26">
        <v>45840</v>
      </c>
      <c r="C21" s="21" t="s">
        <v>33</v>
      </c>
      <c r="H21" s="20"/>
      <c r="I21" s="43">
        <v>10000</v>
      </c>
    </row>
    <row r="22" spans="1:9" ht="15" x14ac:dyDescent="0.25">
      <c r="A22" s="26">
        <v>45840</v>
      </c>
      <c r="C22" s="21" t="s">
        <v>33</v>
      </c>
      <c r="H22" s="20"/>
      <c r="I22" s="43">
        <v>18000</v>
      </c>
    </row>
    <row r="23" spans="1:9" ht="15" x14ac:dyDescent="0.25">
      <c r="A23" s="26">
        <v>45842</v>
      </c>
      <c r="C23" s="21" t="s">
        <v>39</v>
      </c>
      <c r="H23" s="20"/>
      <c r="I23" s="43">
        <v>50000</v>
      </c>
    </row>
    <row r="24" spans="1:9" ht="15" x14ac:dyDescent="0.25">
      <c r="A24" s="26">
        <v>45847</v>
      </c>
      <c r="C24" s="21" t="s">
        <v>43</v>
      </c>
      <c r="H24" s="20"/>
      <c r="I24" s="43">
        <v>50000</v>
      </c>
    </row>
    <row r="25" spans="1:9" ht="15" x14ac:dyDescent="0.25">
      <c r="A25" s="26">
        <v>45852</v>
      </c>
      <c r="C25" s="21" t="s">
        <v>43</v>
      </c>
      <c r="H25" s="20"/>
      <c r="I25" s="43">
        <v>20000</v>
      </c>
    </row>
    <row r="26" spans="1:9" ht="15" x14ac:dyDescent="0.25">
      <c r="A26" s="26">
        <v>45852</v>
      </c>
      <c r="C26" s="21" t="s">
        <v>43</v>
      </c>
      <c r="H26" s="20"/>
      <c r="I26" s="43">
        <v>30000</v>
      </c>
    </row>
    <row r="27" spans="1:9" ht="15" x14ac:dyDescent="0.25">
      <c r="A27" s="26">
        <v>45852</v>
      </c>
      <c r="C27" s="21" t="s">
        <v>44</v>
      </c>
      <c r="H27" s="20"/>
      <c r="I27" s="43">
        <v>25000</v>
      </c>
    </row>
    <row r="28" spans="1:9" x14ac:dyDescent="0.2">
      <c r="A28" s="26">
        <v>45853</v>
      </c>
      <c r="C28" s="21" t="s">
        <v>44</v>
      </c>
      <c r="I28" s="43">
        <v>25000</v>
      </c>
    </row>
    <row r="29" spans="1:9" x14ac:dyDescent="0.2">
      <c r="A29" s="26">
        <v>45855</v>
      </c>
      <c r="C29" s="21" t="s">
        <v>46</v>
      </c>
      <c r="I29" s="43">
        <f>30000+20000</f>
        <v>50000</v>
      </c>
    </row>
    <row r="30" spans="1:9" x14ac:dyDescent="0.2">
      <c r="A30" s="26">
        <v>45862</v>
      </c>
      <c r="C30" s="21" t="s">
        <v>43</v>
      </c>
      <c r="I30" s="43">
        <v>30000</v>
      </c>
    </row>
    <row r="31" spans="1:9" x14ac:dyDescent="0.2">
      <c r="A31" s="26">
        <v>45866</v>
      </c>
      <c r="C31" s="21" t="s">
        <v>43</v>
      </c>
      <c r="I31" s="43">
        <v>50000</v>
      </c>
    </row>
    <row r="32" spans="1:9" x14ac:dyDescent="0.2">
      <c r="A32" s="26">
        <v>45866</v>
      </c>
      <c r="C32" s="21" t="s">
        <v>43</v>
      </c>
      <c r="I32" s="43">
        <v>20000</v>
      </c>
    </row>
    <row r="33" spans="1:9" x14ac:dyDescent="0.2">
      <c r="A33" s="26">
        <v>45866</v>
      </c>
      <c r="C33" s="21" t="s">
        <v>43</v>
      </c>
      <c r="I33" s="43">
        <v>20000</v>
      </c>
    </row>
    <row r="34" spans="1:9" x14ac:dyDescent="0.2">
      <c r="A34" s="26">
        <v>45866</v>
      </c>
      <c r="C34" s="21" t="s">
        <v>43</v>
      </c>
      <c r="I34" s="43">
        <v>50000</v>
      </c>
    </row>
    <row r="35" spans="1:9" x14ac:dyDescent="0.2">
      <c r="A35" s="26">
        <v>45873</v>
      </c>
      <c r="C35" s="21" t="s">
        <v>43</v>
      </c>
      <c r="I35" s="43">
        <v>20000</v>
      </c>
    </row>
    <row r="36" spans="1:9" x14ac:dyDescent="0.2">
      <c r="A36" s="26">
        <v>45874</v>
      </c>
      <c r="C36" s="21" t="s">
        <v>50</v>
      </c>
      <c r="I36" s="44">
        <v>13824</v>
      </c>
    </row>
    <row r="37" spans="1:9" x14ac:dyDescent="0.2">
      <c r="A37" s="26">
        <v>45882</v>
      </c>
      <c r="C37" s="21" t="s">
        <v>44</v>
      </c>
      <c r="I37" s="43">
        <v>25000</v>
      </c>
    </row>
    <row r="38" spans="1:9" x14ac:dyDescent="0.2">
      <c r="A38" s="26">
        <v>45883</v>
      </c>
      <c r="C38" s="21" t="s">
        <v>44</v>
      </c>
      <c r="I38" s="43">
        <v>15000</v>
      </c>
    </row>
    <row r="39" spans="1:9" x14ac:dyDescent="0.2">
      <c r="A39" s="26">
        <v>45887</v>
      </c>
      <c r="C39" s="21" t="s">
        <v>44</v>
      </c>
      <c r="I39" s="43">
        <v>10000</v>
      </c>
    </row>
    <row r="40" spans="1:9" x14ac:dyDescent="0.2">
      <c r="A40" s="26">
        <v>45889</v>
      </c>
      <c r="C40" s="21" t="s">
        <v>44</v>
      </c>
      <c r="I40" s="43">
        <v>10000</v>
      </c>
    </row>
    <row r="41" spans="1:9" x14ac:dyDescent="0.2">
      <c r="A41" s="26">
        <v>45901</v>
      </c>
      <c r="C41" s="21" t="s">
        <v>46</v>
      </c>
      <c r="I41" s="28">
        <v>16000</v>
      </c>
    </row>
    <row r="42" spans="1:9" x14ac:dyDescent="0.2">
      <c r="A42" s="26">
        <v>45904</v>
      </c>
      <c r="C42" s="21" t="s">
        <v>47</v>
      </c>
      <c r="I42" s="43">
        <v>25000</v>
      </c>
    </row>
    <row r="43" spans="1:9" x14ac:dyDescent="0.2">
      <c r="A43" s="26">
        <v>45908</v>
      </c>
      <c r="C43" s="21" t="s">
        <v>47</v>
      </c>
      <c r="I43" s="43">
        <v>25000</v>
      </c>
    </row>
    <row r="44" spans="1:9" x14ac:dyDescent="0.2">
      <c r="A44" s="26">
        <v>45912</v>
      </c>
      <c r="C44" s="21" t="s">
        <v>46</v>
      </c>
      <c r="I44" s="43">
        <v>25000</v>
      </c>
    </row>
    <row r="45" spans="1:9" x14ac:dyDescent="0.2">
      <c r="A45" s="26">
        <v>45915</v>
      </c>
      <c r="C45" s="21" t="s">
        <v>46</v>
      </c>
      <c r="I45" s="43">
        <v>9000</v>
      </c>
    </row>
    <row r="46" spans="1:9" x14ac:dyDescent="0.2">
      <c r="A46" s="26">
        <v>45915</v>
      </c>
      <c r="C46" s="21" t="s">
        <v>48</v>
      </c>
      <c r="I46" s="43">
        <v>21000</v>
      </c>
    </row>
    <row r="47" spans="1:9" x14ac:dyDescent="0.2">
      <c r="A47" s="26">
        <v>45918</v>
      </c>
      <c r="C47" s="21" t="s">
        <v>47</v>
      </c>
      <c r="I47" s="43">
        <v>20000</v>
      </c>
    </row>
    <row r="48" spans="1:9" x14ac:dyDescent="0.2">
      <c r="A48" s="26">
        <v>45924</v>
      </c>
      <c r="C48" s="21" t="s">
        <v>47</v>
      </c>
      <c r="I48" s="43">
        <v>25000</v>
      </c>
    </row>
    <row r="49" spans="1:9" x14ac:dyDescent="0.2">
      <c r="I49" s="28"/>
    </row>
    <row r="50" spans="1:9" x14ac:dyDescent="0.2">
      <c r="I50" s="28"/>
    </row>
    <row r="51" spans="1:9" ht="13.5" thickBot="1" x14ac:dyDescent="0.25">
      <c r="A51" s="40" t="s">
        <v>11</v>
      </c>
      <c r="B51" s="40"/>
      <c r="C51" s="40"/>
      <c r="D51" s="40"/>
      <c r="E51" s="40">
        <f>SUBTOTAL(109,RAM_352[Column1])</f>
        <v>311</v>
      </c>
      <c r="F51" s="40"/>
      <c r="G51" s="40"/>
      <c r="H51" s="41">
        <f>SUBTOTAL(109,RAM_352[DEBIT])</f>
        <v>1167965.8000000005</v>
      </c>
      <c r="I51" s="42">
        <f>SUBTOTAL(109,RAM_352[CREDIT])</f>
        <v>767824</v>
      </c>
    </row>
    <row r="52" spans="1:9" ht="13.5" thickTop="1" x14ac:dyDescent="0.2">
      <c r="H52" s="34" t="s">
        <v>36</v>
      </c>
      <c r="I52" s="36">
        <f>RAM_352[[#Totals],[DEBIT]]-RAM_352[[#Totals],[CREDIT]]+0.7</f>
        <v>400142.50000000052</v>
      </c>
    </row>
    <row r="55" spans="1:9" x14ac:dyDescent="0.2">
      <c r="E55" s="28"/>
      <c r="F55" s="28"/>
    </row>
    <row r="56" spans="1:9" x14ac:dyDescent="0.2">
      <c r="E56" s="28"/>
      <c r="F56" s="28"/>
    </row>
    <row r="57" spans="1:9" x14ac:dyDescent="0.2">
      <c r="A57" s="21"/>
      <c r="E57" s="28"/>
      <c r="F57" s="28"/>
      <c r="H57" s="21"/>
    </row>
    <row r="58" spans="1:9" x14ac:dyDescent="0.2">
      <c r="A58" s="21"/>
      <c r="E58" s="28"/>
      <c r="F58" s="28"/>
      <c r="H58" s="21"/>
    </row>
    <row r="59" spans="1:9" x14ac:dyDescent="0.2">
      <c r="A59" s="21"/>
      <c r="E59" s="28"/>
      <c r="F59" s="28"/>
      <c r="H59" s="21"/>
    </row>
    <row r="60" spans="1:9" x14ac:dyDescent="0.2">
      <c r="A60" s="21"/>
      <c r="E60" s="28"/>
      <c r="F60" s="28"/>
      <c r="H60" s="21"/>
    </row>
    <row r="61" spans="1:9" x14ac:dyDescent="0.2">
      <c r="A61" s="21"/>
      <c r="E61" s="28"/>
      <c r="F61" s="28"/>
      <c r="H61" s="21"/>
    </row>
    <row r="62" spans="1:9" x14ac:dyDescent="0.2">
      <c r="A62" s="21"/>
      <c r="E62" s="28"/>
      <c r="F62" s="28"/>
      <c r="H62" s="21"/>
    </row>
    <row r="63" spans="1:9" x14ac:dyDescent="0.2">
      <c r="A63" s="21"/>
      <c r="E63" s="28"/>
      <c r="F63" s="28"/>
      <c r="H63" s="21"/>
    </row>
    <row r="64" spans="1:9" x14ac:dyDescent="0.2">
      <c r="A64" s="21"/>
      <c r="E64" s="28"/>
      <c r="F64" s="28"/>
      <c r="H64" s="21"/>
    </row>
    <row r="65" spans="1:8" x14ac:dyDescent="0.2">
      <c r="A65" s="21"/>
      <c r="E65" s="28"/>
      <c r="F65" s="28"/>
      <c r="H65" s="21"/>
    </row>
    <row r="66" spans="1:8" x14ac:dyDescent="0.2">
      <c r="A66" s="21"/>
      <c r="E66" s="28"/>
      <c r="F66" s="28"/>
      <c r="H66" s="21"/>
    </row>
    <row r="67" spans="1:8" x14ac:dyDescent="0.2">
      <c r="A67" s="21"/>
      <c r="E67" s="28"/>
      <c r="F67" s="28"/>
      <c r="H67" s="21"/>
    </row>
    <row r="68" spans="1:8" x14ac:dyDescent="0.2">
      <c r="A68" s="21"/>
      <c r="E68" s="28"/>
      <c r="F68" s="28"/>
      <c r="H68" s="21"/>
    </row>
    <row r="69" spans="1:8" x14ac:dyDescent="0.2">
      <c r="A69" s="21"/>
      <c r="E69" s="28"/>
      <c r="F69" s="28"/>
      <c r="H69" s="21"/>
    </row>
  </sheetData>
  <mergeCells count="1">
    <mergeCell ref="A1:I1"/>
  </mergeCells>
  <hyperlinks>
    <hyperlink ref="H4" location="Sheet3!H4" display="Sheet3!H4"/>
  </hyperlink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NHL202425</vt:lpstr>
      <vt:lpstr>NHL2526Q1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2025-09-27T16:04:17Z</dcterms:modified>
</cp:coreProperties>
</file>